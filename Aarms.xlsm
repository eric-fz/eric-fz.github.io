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08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ericzhou/Downloads/"/>
    </mc:Choice>
  </mc:AlternateContent>
  <xr:revisionPtr revIDLastSave="0" documentId="13_ncr:1_{8140F75B-CB60-9F47-833D-47CC75E62826}" xr6:coauthVersionLast="47" xr6:coauthVersionMax="47" xr10:uidLastSave="{00000000-0000-0000-0000-000000000000}"/>
  <bookViews>
    <workbookView xWindow="0" yWindow="500" windowWidth="28800" windowHeight="17500" tabRatio="800" firstSheet="2" activeTab="6" xr2:uid="{23EB1AB5-5E82-4BD8-8620-77C919C01600}"/>
  </bookViews>
  <sheets>
    <sheet name="Front Tires Force Calculations" sheetId="1" r:id="rId1"/>
    <sheet name="Front A-Arms Steel Tubes Sizing" sheetId="3" r:id="rId2"/>
    <sheet name="Front A-Arms CF Tubes Sizing" sheetId="6" r:id="rId3"/>
    <sheet name="Rear Tires Force Calculations" sheetId="7" r:id="rId4"/>
    <sheet name="Rear A-Arms Steel Tubes Sizing" sheetId="8" r:id="rId5"/>
    <sheet name="Rear A-Arms CF Tubes Sizing" sheetId="9" r:id="rId6"/>
    <sheet name="Rod Ends and Sphericals Sizing" sheetId="10" r:id="rId7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J11" i="10" l="1"/>
  <c r="I11" i="10"/>
  <c r="C16" i="10"/>
  <c r="C17" i="10"/>
  <c r="B17" i="10"/>
  <c r="B16" i="10"/>
  <c r="S11" i="10"/>
  <c r="S14" i="10" s="1"/>
  <c r="R11" i="10"/>
  <c r="J39" i="10"/>
  <c r="J38" i="10"/>
  <c r="J37" i="10"/>
  <c r="Q11" i="10" s="1"/>
  <c r="F33" i="10"/>
  <c r="F34" i="10"/>
  <c r="F35" i="10"/>
  <c r="G35" i="10" s="1"/>
  <c r="H35" i="10" s="1"/>
  <c r="F36" i="10"/>
  <c r="G36" i="10" s="1"/>
  <c r="H36" i="10" s="1"/>
  <c r="G33" i="10"/>
  <c r="H33" i="10" s="1"/>
  <c r="D16" i="10" s="1"/>
  <c r="J34" i="10"/>
  <c r="J35" i="10"/>
  <c r="J36" i="10"/>
  <c r="J33" i="10"/>
  <c r="M11" i="10" s="1"/>
  <c r="H13" i="9"/>
  <c r="D17" i="10"/>
  <c r="D36" i="10"/>
  <c r="C36" i="10"/>
  <c r="B13" i="10"/>
  <c r="B3" i="10" a="1"/>
  <c r="B3" i="10" s="1"/>
  <c r="C3" i="10" a="1"/>
  <c r="C3" i="10" s="1"/>
  <c r="E3" i="10" a="1"/>
  <c r="E3" i="10" s="1"/>
  <c r="D3" i="10" a="1"/>
  <c r="D3" i="10" s="1"/>
  <c r="S12" i="10" s="1" a="1"/>
  <c r="S12" i="10" s="1"/>
  <c r="C35" i="10"/>
  <c r="D35" i="10" s="1"/>
  <c r="G34" i="10"/>
  <c r="H34" i="10" s="1"/>
  <c r="E16" i="10" s="1"/>
  <c r="C34" i="10"/>
  <c r="D34" i="10" s="1"/>
  <c r="E17" i="10" s="1"/>
  <c r="C33" i="10"/>
  <c r="D33" i="10" s="1"/>
  <c r="C32" i="10"/>
  <c r="E15" i="10"/>
  <c r="D15" i="10"/>
  <c r="C15" i="10"/>
  <c r="B15" i="10"/>
  <c r="E13" i="10"/>
  <c r="D13" i="10"/>
  <c r="C13" i="10"/>
  <c r="H13" i="3"/>
  <c r="H14" i="3"/>
  <c r="G14" i="9"/>
  <c r="G17" i="9"/>
  <c r="G13" i="9"/>
  <c r="E14" i="9"/>
  <c r="E15" i="9"/>
  <c r="E16" i="9"/>
  <c r="E17" i="9"/>
  <c r="E13" i="9"/>
  <c r="D13" i="9" a="1"/>
  <c r="D13" i="9" s="1"/>
  <c r="C13" i="9" a="1"/>
  <c r="C13" i="9" s="1"/>
  <c r="F10" i="9"/>
  <c r="C10" i="9"/>
  <c r="B10" i="9"/>
  <c r="H8" i="9"/>
  <c r="G8" i="9"/>
  <c r="F8" i="9"/>
  <c r="E8" i="9"/>
  <c r="D8" i="9"/>
  <c r="C8" i="9"/>
  <c r="B8" i="9"/>
  <c r="E6" i="9"/>
  <c r="C6" i="9"/>
  <c r="H4" i="9"/>
  <c r="G4" i="9"/>
  <c r="F4" i="9"/>
  <c r="E4" i="9"/>
  <c r="D4" i="9"/>
  <c r="C4" i="9"/>
  <c r="B4" i="9"/>
  <c r="F10" i="8"/>
  <c r="H8" i="8"/>
  <c r="G8" i="8"/>
  <c r="F8" i="8"/>
  <c r="E8" i="8"/>
  <c r="D8" i="8"/>
  <c r="C8" i="8"/>
  <c r="B8" i="8"/>
  <c r="E6" i="8"/>
  <c r="C6" i="8"/>
  <c r="H4" i="8"/>
  <c r="G4" i="8"/>
  <c r="F4" i="8"/>
  <c r="E4" i="8"/>
  <c r="D4" i="8"/>
  <c r="C4" i="8"/>
  <c r="B4" i="8"/>
  <c r="C33" i="7"/>
  <c r="C20" i="7"/>
  <c r="C21" i="7"/>
  <c r="C19" i="7"/>
  <c r="C17" i="7"/>
  <c r="C10" i="7"/>
  <c r="M16" i="7"/>
  <c r="L16" i="7"/>
  <c r="T11" i="10" l="1"/>
  <c r="Q12" i="10" a="1"/>
  <c r="Q12" i="10" s="1"/>
  <c r="Q14" i="10" s="1"/>
  <c r="B20" i="10"/>
  <c r="B19" i="10"/>
  <c r="M12" i="10"/>
  <c r="M14" i="10" s="1"/>
  <c r="O11" i="10"/>
  <c r="O14" i="10" s="1"/>
  <c r="N12" i="10"/>
  <c r="P11" i="10"/>
  <c r="O12" i="10"/>
  <c r="I12" i="10"/>
  <c r="I14" i="10" s="1"/>
  <c r="K11" i="10"/>
  <c r="J12" i="10"/>
  <c r="J14" i="10" s="1"/>
  <c r="L11" i="10"/>
  <c r="L14" i="10" s="1"/>
  <c r="K12" i="10"/>
  <c r="N11" i="10"/>
  <c r="N14" i="10" s="1"/>
  <c r="P12" i="10"/>
  <c r="R12" i="10" a="1"/>
  <c r="R12" i="10" s="1"/>
  <c r="R14" i="10" s="1"/>
  <c r="B18" i="10"/>
  <c r="L12" i="10"/>
  <c r="T12" i="10" a="1"/>
  <c r="T12" i="10" s="1"/>
  <c r="C18" i="10"/>
  <c r="C22" i="10" s="1"/>
  <c r="C19" i="10"/>
  <c r="E19" i="10"/>
  <c r="E26" i="10" s="1"/>
  <c r="D18" i="10"/>
  <c r="D22" i="10" s="1"/>
  <c r="E18" i="10"/>
  <c r="E22" i="10" s="1"/>
  <c r="D19" i="10"/>
  <c r="B22" i="10"/>
  <c r="E20" i="10"/>
  <c r="E21" i="10"/>
  <c r="F6" i="9"/>
  <c r="G6" i="9" s="1"/>
  <c r="F6" i="8"/>
  <c r="H6" i="8" s="1"/>
  <c r="K14" i="10" l="1"/>
  <c r="T14" i="10"/>
  <c r="P14" i="10"/>
  <c r="B23" i="10"/>
  <c r="B24" i="10" s="1"/>
  <c r="C23" i="10"/>
  <c r="E25" i="10"/>
  <c r="E23" i="10"/>
  <c r="E24" i="10" s="1"/>
  <c r="E27" i="10" s="1"/>
  <c r="E29" i="10" s="1"/>
  <c r="D23" i="10"/>
  <c r="D20" i="10"/>
  <c r="D21" i="10"/>
  <c r="B21" i="10"/>
  <c r="C21" i="10"/>
  <c r="C20" i="10"/>
  <c r="H6" i="9"/>
  <c r="G6" i="8"/>
  <c r="C24" i="10" l="1"/>
  <c r="D24" i="10"/>
  <c r="B25" i="10"/>
  <c r="B26" i="10"/>
  <c r="D26" i="10"/>
  <c r="D25" i="10"/>
  <c r="C25" i="10"/>
  <c r="C26" i="10"/>
  <c r="Y114" i="7"/>
  <c r="X114" i="7"/>
  <c r="W114" i="7"/>
  <c r="V114" i="7"/>
  <c r="U114" i="7"/>
  <c r="T114" i="7"/>
  <c r="Y112" i="7"/>
  <c r="X112" i="7"/>
  <c r="W112" i="7"/>
  <c r="V112" i="7"/>
  <c r="U112" i="7"/>
  <c r="T112" i="7"/>
  <c r="Y111" i="7"/>
  <c r="Y113" i="7" s="1"/>
  <c r="X111" i="7"/>
  <c r="X113" i="7" s="1"/>
  <c r="W111" i="7"/>
  <c r="W113" i="7" s="1"/>
  <c r="V111" i="7"/>
  <c r="V113" i="7" s="1"/>
  <c r="U111" i="7"/>
  <c r="U113" i="7" s="1"/>
  <c r="T111" i="7"/>
  <c r="T113" i="7" s="1"/>
  <c r="M110" i="7"/>
  <c r="L110" i="7"/>
  <c r="K110" i="7"/>
  <c r="J110" i="7"/>
  <c r="I110" i="7"/>
  <c r="P110" i="7" s="1"/>
  <c r="M109" i="7"/>
  <c r="L109" i="7"/>
  <c r="J109" i="7"/>
  <c r="I109" i="7"/>
  <c r="P109" i="7" s="1"/>
  <c r="K109" i="7" s="1"/>
  <c r="N109" i="7" s="1"/>
  <c r="O108" i="7"/>
  <c r="M108" i="7"/>
  <c r="L108" i="7"/>
  <c r="J108" i="7"/>
  <c r="I108" i="7"/>
  <c r="P108" i="7" s="1"/>
  <c r="K108" i="7" s="1"/>
  <c r="P107" i="7"/>
  <c r="M107" i="7"/>
  <c r="O107" i="7" s="1"/>
  <c r="D51" i="7" s="1"/>
  <c r="L71" i="7" s="1"/>
  <c r="L107" i="7"/>
  <c r="K107" i="7"/>
  <c r="J107" i="7"/>
  <c r="I107" i="7"/>
  <c r="M106" i="7"/>
  <c r="O106" i="7" s="1"/>
  <c r="L106" i="7"/>
  <c r="J106" i="7"/>
  <c r="I106" i="7"/>
  <c r="P106" i="7" s="1"/>
  <c r="K106" i="7" s="1"/>
  <c r="N106" i="7" s="1"/>
  <c r="O105" i="7"/>
  <c r="M105" i="7"/>
  <c r="L105" i="7"/>
  <c r="N105" i="7" s="1"/>
  <c r="J105" i="7"/>
  <c r="I105" i="7"/>
  <c r="P105" i="7" s="1"/>
  <c r="K105" i="7" s="1"/>
  <c r="M104" i="7"/>
  <c r="L104" i="7"/>
  <c r="J104" i="7"/>
  <c r="I104" i="7"/>
  <c r="P104" i="7" s="1"/>
  <c r="K104" i="7" s="1"/>
  <c r="M103" i="7"/>
  <c r="L103" i="7"/>
  <c r="J103" i="7"/>
  <c r="I103" i="7"/>
  <c r="P103" i="7" s="1"/>
  <c r="K103" i="7" s="1"/>
  <c r="N103" i="7" s="1"/>
  <c r="O102" i="7"/>
  <c r="M102" i="7"/>
  <c r="L102" i="7"/>
  <c r="J102" i="7"/>
  <c r="I102" i="7"/>
  <c r="P102" i="7" s="1"/>
  <c r="K102" i="7" s="1"/>
  <c r="M101" i="7"/>
  <c r="L101" i="7"/>
  <c r="K101" i="7"/>
  <c r="J101" i="7"/>
  <c r="I101" i="7"/>
  <c r="P101" i="7" s="1"/>
  <c r="M100" i="7"/>
  <c r="L100" i="7"/>
  <c r="J100" i="7"/>
  <c r="I100" i="7"/>
  <c r="P100" i="7" s="1"/>
  <c r="K100" i="7" s="1"/>
  <c r="N100" i="7" s="1"/>
  <c r="M99" i="7"/>
  <c r="L99" i="7"/>
  <c r="J99" i="7"/>
  <c r="I99" i="7"/>
  <c r="P99" i="7" s="1"/>
  <c r="K99" i="7" s="1"/>
  <c r="O99" i="7" s="1"/>
  <c r="M98" i="7"/>
  <c r="L98" i="7"/>
  <c r="J98" i="7"/>
  <c r="I98" i="7"/>
  <c r="P98" i="7" s="1"/>
  <c r="K98" i="7" s="1"/>
  <c r="M97" i="7"/>
  <c r="O97" i="7" s="1"/>
  <c r="L97" i="7"/>
  <c r="J97" i="7"/>
  <c r="I97" i="7"/>
  <c r="P97" i="7" s="1"/>
  <c r="K97" i="7" s="1"/>
  <c r="N97" i="7" s="1"/>
  <c r="O96" i="7"/>
  <c r="M96" i="7"/>
  <c r="L96" i="7"/>
  <c r="N96" i="7" s="1"/>
  <c r="J96" i="7"/>
  <c r="I96" i="7"/>
  <c r="P96" i="7" s="1"/>
  <c r="K96" i="7" s="1"/>
  <c r="M95" i="7"/>
  <c r="L95" i="7"/>
  <c r="J95" i="7"/>
  <c r="I95" i="7"/>
  <c r="P95" i="7" s="1"/>
  <c r="K95" i="7" s="1"/>
  <c r="M94" i="7"/>
  <c r="L94" i="7"/>
  <c r="J94" i="7"/>
  <c r="I94" i="7"/>
  <c r="P94" i="7" s="1"/>
  <c r="K94" i="7" s="1"/>
  <c r="N94" i="7" s="1"/>
  <c r="O93" i="7"/>
  <c r="M93" i="7"/>
  <c r="L93" i="7"/>
  <c r="J93" i="7"/>
  <c r="I93" i="7"/>
  <c r="P93" i="7" s="1"/>
  <c r="K93" i="7" s="1"/>
  <c r="M92" i="7"/>
  <c r="L92" i="7"/>
  <c r="K92" i="7"/>
  <c r="J92" i="7"/>
  <c r="I92" i="7"/>
  <c r="P92" i="7" s="1"/>
  <c r="M91" i="7"/>
  <c r="L91" i="7"/>
  <c r="J91" i="7"/>
  <c r="I91" i="7"/>
  <c r="P91" i="7" s="1"/>
  <c r="K91" i="7" s="1"/>
  <c r="N91" i="7" s="1"/>
  <c r="M90" i="7"/>
  <c r="L90" i="7"/>
  <c r="J90" i="7"/>
  <c r="I90" i="7"/>
  <c r="P90" i="7" s="1"/>
  <c r="K90" i="7" s="1"/>
  <c r="O90" i="7" s="1"/>
  <c r="E52" i="7"/>
  <c r="L72" i="7" s="1"/>
  <c r="D48" i="7"/>
  <c r="E44" i="7"/>
  <c r="D44" i="7"/>
  <c r="E43" i="7"/>
  <c r="D43" i="7"/>
  <c r="E42" i="7"/>
  <c r="D42" i="7"/>
  <c r="E40" i="7"/>
  <c r="D40" i="7"/>
  <c r="C44" i="7"/>
  <c r="C43" i="7"/>
  <c r="C42" i="7"/>
  <c r="C12" i="7" a="1"/>
  <c r="E12" i="7" a="1"/>
  <c r="E12" i="7" s="1"/>
  <c r="C5" i="7" a="1"/>
  <c r="E5" i="7" a="1"/>
  <c r="E38" i="7" s="1"/>
  <c r="C10" i="6"/>
  <c r="B10" i="6"/>
  <c r="F10" i="6"/>
  <c r="H8" i="6"/>
  <c r="G8" i="6"/>
  <c r="F8" i="6"/>
  <c r="E8" i="6"/>
  <c r="D8" i="6"/>
  <c r="C8" i="6"/>
  <c r="B8" i="6"/>
  <c r="E6" i="6"/>
  <c r="C6" i="6"/>
  <c r="H4" i="6"/>
  <c r="G4" i="6"/>
  <c r="F4" i="6"/>
  <c r="E4" i="6"/>
  <c r="D4" i="6"/>
  <c r="C4" i="6"/>
  <c r="B4" i="6"/>
  <c r="F10" i="3"/>
  <c r="E8" i="3"/>
  <c r="F8" i="3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90" i="1"/>
  <c r="N91" i="1"/>
  <c r="N92" i="1"/>
  <c r="N93" i="1"/>
  <c r="N94" i="1"/>
  <c r="N95" i="1"/>
  <c r="N96" i="1"/>
  <c r="N97" i="1"/>
  <c r="N98" i="1"/>
  <c r="N99" i="1"/>
  <c r="N100" i="1"/>
  <c r="N101" i="1"/>
  <c r="N102" i="1"/>
  <c r="N103" i="1"/>
  <c r="N104" i="1"/>
  <c r="N105" i="1"/>
  <c r="N106" i="1"/>
  <c r="N107" i="1"/>
  <c r="N108" i="1"/>
  <c r="N109" i="1"/>
  <c r="N110" i="1"/>
  <c r="M91" i="1"/>
  <c r="M92" i="1"/>
  <c r="M93" i="1"/>
  <c r="M94" i="1"/>
  <c r="M95" i="1"/>
  <c r="M96" i="1"/>
  <c r="M97" i="1"/>
  <c r="M98" i="1"/>
  <c r="M99" i="1"/>
  <c r="M100" i="1"/>
  <c r="M101" i="1"/>
  <c r="M102" i="1"/>
  <c r="M103" i="1"/>
  <c r="M104" i="1"/>
  <c r="M105" i="1"/>
  <c r="M106" i="1"/>
  <c r="M107" i="1"/>
  <c r="M108" i="1"/>
  <c r="M109" i="1"/>
  <c r="M110" i="1"/>
  <c r="M90" i="1"/>
  <c r="L91" i="1"/>
  <c r="L92" i="1"/>
  <c r="L93" i="1"/>
  <c r="L94" i="1"/>
  <c r="L95" i="1"/>
  <c r="L96" i="1"/>
  <c r="L97" i="1"/>
  <c r="L98" i="1"/>
  <c r="L99" i="1"/>
  <c r="L100" i="1"/>
  <c r="L101" i="1"/>
  <c r="L102" i="1"/>
  <c r="L103" i="1"/>
  <c r="L104" i="1"/>
  <c r="L105" i="1"/>
  <c r="L106" i="1"/>
  <c r="L107" i="1"/>
  <c r="L108" i="1"/>
  <c r="L109" i="1"/>
  <c r="L110" i="1"/>
  <c r="L90" i="1"/>
  <c r="D44" i="1"/>
  <c r="E44" i="1"/>
  <c r="D43" i="1"/>
  <c r="E43" i="1"/>
  <c r="D42" i="1"/>
  <c r="E42" i="1"/>
  <c r="C33" i="1"/>
  <c r="C20" i="1"/>
  <c r="C21" i="1"/>
  <c r="C19" i="1"/>
  <c r="E12" i="1" a="1"/>
  <c r="E12" i="1" s="1"/>
  <c r="E5" i="1" a="1"/>
  <c r="E5" i="1" s="1"/>
  <c r="C5" i="1" a="1"/>
  <c r="C5" i="1" s="1"/>
  <c r="C35" i="1" s="1"/>
  <c r="C17" i="1"/>
  <c r="G15" i="1"/>
  <c r="G14" i="1"/>
  <c r="G13" i="1"/>
  <c r="G12" i="1"/>
  <c r="C12" i="1" s="1" a="1"/>
  <c r="C12" i="1" s="1"/>
  <c r="C10" i="1"/>
  <c r="G7" i="1"/>
  <c r="G8" i="1"/>
  <c r="G6" i="1"/>
  <c r="G5" i="1"/>
  <c r="P107" i="1"/>
  <c r="C56" i="7" a="1"/>
  <c r="C30" i="7" a="1"/>
  <c r="C55" i="7" a="1"/>
  <c r="C28" i="7" a="1"/>
  <c r="C29" i="7" a="1"/>
  <c r="B27" i="10" l="1"/>
  <c r="B29" i="10" s="1"/>
  <c r="C27" i="10"/>
  <c r="C29" i="10" s="1"/>
  <c r="D27" i="10"/>
  <c r="D29" i="10" s="1"/>
  <c r="D13" i="8" a="1"/>
  <c r="D13" i="8" s="1"/>
  <c r="C13" i="8" a="1"/>
  <c r="C13" i="8" s="1"/>
  <c r="E36" i="7"/>
  <c r="C29" i="7"/>
  <c r="E29" i="7"/>
  <c r="I29" i="7" s="1"/>
  <c r="D29" i="7"/>
  <c r="H29" i="7" s="1"/>
  <c r="D28" i="7"/>
  <c r="H28" i="7" s="1"/>
  <c r="E28" i="7"/>
  <c r="I28" i="7" s="1"/>
  <c r="C28" i="7"/>
  <c r="E16" i="8" s="1"/>
  <c r="D55" i="7"/>
  <c r="C55" i="7"/>
  <c r="E55" i="7"/>
  <c r="E30" i="7"/>
  <c r="D30" i="7"/>
  <c r="C30" i="7"/>
  <c r="C56" i="7"/>
  <c r="E56" i="7"/>
  <c r="D56" i="7"/>
  <c r="D38" i="7"/>
  <c r="D36" i="7"/>
  <c r="D35" i="7"/>
  <c r="C38" i="7"/>
  <c r="C36" i="7"/>
  <c r="D39" i="7"/>
  <c r="D37" i="7"/>
  <c r="C5" i="7"/>
  <c r="C39" i="7"/>
  <c r="C37" i="7"/>
  <c r="O98" i="7"/>
  <c r="C12" i="7"/>
  <c r="N92" i="7"/>
  <c r="N101" i="7"/>
  <c r="O92" i="7"/>
  <c r="O101" i="7"/>
  <c r="N110" i="7"/>
  <c r="N90" i="7"/>
  <c r="O91" i="7"/>
  <c r="N95" i="7"/>
  <c r="N99" i="7"/>
  <c r="O100" i="7"/>
  <c r="N104" i="7"/>
  <c r="O110" i="7"/>
  <c r="C40" i="7"/>
  <c r="O95" i="7"/>
  <c r="O104" i="7"/>
  <c r="N108" i="7"/>
  <c r="O109" i="7"/>
  <c r="N93" i="7"/>
  <c r="O94" i="7"/>
  <c r="N98" i="7"/>
  <c r="N102" i="7"/>
  <c r="O103" i="7"/>
  <c r="N107" i="7"/>
  <c r="C50" i="7" s="1"/>
  <c r="E5" i="7"/>
  <c r="E37" i="7"/>
  <c r="E39" i="7"/>
  <c r="F6" i="6"/>
  <c r="G6" i="6" s="1"/>
  <c r="C42" i="1"/>
  <c r="C44" i="1"/>
  <c r="C43" i="1"/>
  <c r="D36" i="1"/>
  <c r="G73" i="7" a="1"/>
  <c r="C26" i="7" a="1"/>
  <c r="C25" i="7" a="1"/>
  <c r="C54" i="7" a="1"/>
  <c r="F73" i="7" a="1"/>
  <c r="H73" i="7" a="1"/>
  <c r="C27" i="7" a="1"/>
  <c r="G29" i="7" l="1"/>
  <c r="G17" i="8"/>
  <c r="E17" i="8"/>
  <c r="E27" i="7"/>
  <c r="I27" i="7" s="1"/>
  <c r="D27" i="7"/>
  <c r="H27" i="7" s="1"/>
  <c r="C27" i="7"/>
  <c r="E15" i="8" s="1"/>
  <c r="H73" i="7"/>
  <c r="H75" i="7"/>
  <c r="H74" i="7"/>
  <c r="F75" i="7"/>
  <c r="F74" i="7"/>
  <c r="F73" i="7"/>
  <c r="E54" i="7"/>
  <c r="L75" i="7" s="1"/>
  <c r="D54" i="7"/>
  <c r="L74" i="7" s="1"/>
  <c r="C54" i="7"/>
  <c r="L73" i="7" s="1"/>
  <c r="D25" i="7"/>
  <c r="H25" i="7" s="1"/>
  <c r="C25" i="7"/>
  <c r="E25" i="7"/>
  <c r="I25" i="7" s="1"/>
  <c r="C26" i="7"/>
  <c r="D26" i="7"/>
  <c r="H26" i="7" s="1"/>
  <c r="E26" i="7"/>
  <c r="I26" i="7" s="1"/>
  <c r="G73" i="7"/>
  <c r="G75" i="7"/>
  <c r="G74" i="7"/>
  <c r="E35" i="7"/>
  <c r="L70" i="7"/>
  <c r="G28" i="7"/>
  <c r="C35" i="7"/>
  <c r="G25" i="7"/>
  <c r="H6" i="6"/>
  <c r="C73" i="7" a="1"/>
  <c r="E73" i="7" a="1"/>
  <c r="D73" i="7" a="1"/>
  <c r="E14" i="8" l="1"/>
  <c r="G14" i="8"/>
  <c r="G13" i="8"/>
  <c r="E13" i="8"/>
  <c r="D73" i="7"/>
  <c r="E73" i="7"/>
  <c r="C73" i="7"/>
  <c r="G26" i="7"/>
  <c r="G27" i="7"/>
  <c r="C70" i="7" a="1"/>
  <c r="C70" i="7" s="1"/>
  <c r="C8" i="3"/>
  <c r="H4" i="3"/>
  <c r="G4" i="3"/>
  <c r="C4" i="3"/>
  <c r="D4" i="3"/>
  <c r="E4" i="3"/>
  <c r="F4" i="3"/>
  <c r="B8" i="3"/>
  <c r="G8" i="3"/>
  <c r="D8" i="3"/>
  <c r="H8" i="3"/>
  <c r="B4" i="3"/>
  <c r="C6" i="3"/>
  <c r="E6" i="3"/>
  <c r="I109" i="1"/>
  <c r="O70" i="7" l="1" a="1"/>
  <c r="O75" i="7" s="1"/>
  <c r="F6" i="3"/>
  <c r="H6" i="3" s="1"/>
  <c r="G6" i="3"/>
  <c r="O70" i="7" l="1"/>
  <c r="O72" i="7"/>
  <c r="O73" i="7"/>
  <c r="O74" i="7"/>
  <c r="O71" i="7"/>
  <c r="Y114" i="1"/>
  <c r="U114" i="1"/>
  <c r="V114" i="1"/>
  <c r="W114" i="1"/>
  <c r="X114" i="1"/>
  <c r="U112" i="1"/>
  <c r="V112" i="1"/>
  <c r="W112" i="1"/>
  <c r="X112" i="1"/>
  <c r="Y112" i="1"/>
  <c r="U111" i="1"/>
  <c r="U113" i="1" s="1"/>
  <c r="V111" i="1"/>
  <c r="V113" i="1" s="1"/>
  <c r="W111" i="1"/>
  <c r="W113" i="1" s="1"/>
  <c r="X111" i="1"/>
  <c r="X113" i="1" s="1"/>
  <c r="Y111" i="1"/>
  <c r="Y113" i="1" s="1"/>
  <c r="T114" i="1"/>
  <c r="T112" i="1"/>
  <c r="T111" i="1"/>
  <c r="T113" i="1" s="1"/>
  <c r="D48" i="1"/>
  <c r="C39" i="1"/>
  <c r="D39" i="1"/>
  <c r="E39" i="1"/>
  <c r="I90" i="1"/>
  <c r="I92" i="1"/>
  <c r="J90" i="1"/>
  <c r="J91" i="1"/>
  <c r="J92" i="1"/>
  <c r="J93" i="1"/>
  <c r="J94" i="1"/>
  <c r="J95" i="1"/>
  <c r="J96" i="1"/>
  <c r="J97" i="1"/>
  <c r="J98" i="1"/>
  <c r="J99" i="1"/>
  <c r="J100" i="1"/>
  <c r="J101" i="1"/>
  <c r="J102" i="1"/>
  <c r="J103" i="1"/>
  <c r="J104" i="1"/>
  <c r="J105" i="1"/>
  <c r="J106" i="1"/>
  <c r="J107" i="1"/>
  <c r="J108" i="1"/>
  <c r="J109" i="1"/>
  <c r="J110" i="1"/>
  <c r="I91" i="1"/>
  <c r="I93" i="1"/>
  <c r="I94" i="1"/>
  <c r="I95" i="1"/>
  <c r="I96" i="1"/>
  <c r="I97" i="1"/>
  <c r="P97" i="1" s="1"/>
  <c r="K97" i="1" s="1"/>
  <c r="I98" i="1"/>
  <c r="I99" i="1"/>
  <c r="I100" i="1"/>
  <c r="I101" i="1"/>
  <c r="I102" i="1"/>
  <c r="I103" i="1"/>
  <c r="I104" i="1"/>
  <c r="I105" i="1"/>
  <c r="I106" i="1"/>
  <c r="I107" i="1"/>
  <c r="I108" i="1"/>
  <c r="I110" i="1"/>
  <c r="E36" i="1"/>
  <c r="E37" i="1"/>
  <c r="E38" i="1"/>
  <c r="E40" i="1"/>
  <c r="E35" i="1"/>
  <c r="D37" i="1"/>
  <c r="D38" i="1"/>
  <c r="D40" i="1"/>
  <c r="D35" i="1"/>
  <c r="C36" i="1"/>
  <c r="C37" i="1"/>
  <c r="C38" i="1"/>
  <c r="C40" i="1"/>
  <c r="C28" i="1" a="1"/>
  <c r="C30" i="1" a="1"/>
  <c r="C29" i="1" a="1"/>
  <c r="C25" i="1" a="1"/>
  <c r="C27" i="1" a="1"/>
  <c r="C26" i="1" a="1"/>
  <c r="C20" i="9" l="1"/>
  <c r="C21" i="9"/>
  <c r="C22" i="9"/>
  <c r="F22" i="9" s="1"/>
  <c r="H22" i="9" s="1"/>
  <c r="C23" i="9"/>
  <c r="F23" i="9" s="1"/>
  <c r="H23" i="9" s="1"/>
  <c r="C13" i="6" a="1"/>
  <c r="C13" i="6" s="1"/>
  <c r="T88" i="7" a="1"/>
  <c r="D13" i="6" a="1"/>
  <c r="D13" i="6" s="1"/>
  <c r="C13" i="3" a="1"/>
  <c r="C13" i="3" s="1"/>
  <c r="D13" i="3" a="1"/>
  <c r="D13" i="3" s="1"/>
  <c r="P110" i="1"/>
  <c r="K110" i="1" s="1"/>
  <c r="K107" i="1"/>
  <c r="P101" i="1"/>
  <c r="K101" i="1" s="1"/>
  <c r="P95" i="1"/>
  <c r="K95" i="1" s="1"/>
  <c r="C29" i="1"/>
  <c r="D29" i="1"/>
  <c r="H29" i="1" s="1"/>
  <c r="E29" i="1"/>
  <c r="I29" i="1" s="1"/>
  <c r="P106" i="1"/>
  <c r="K106" i="1" s="1"/>
  <c r="P105" i="1"/>
  <c r="K105" i="1" s="1"/>
  <c r="P99" i="1"/>
  <c r="K99" i="1" s="1"/>
  <c r="P93" i="1"/>
  <c r="K93" i="1" s="1"/>
  <c r="P91" i="1"/>
  <c r="K91" i="1" s="1"/>
  <c r="P102" i="1"/>
  <c r="K102" i="1" s="1"/>
  <c r="P104" i="1"/>
  <c r="K104" i="1" s="1"/>
  <c r="P92" i="1"/>
  <c r="K92" i="1" s="1"/>
  <c r="P109" i="1"/>
  <c r="K109" i="1" s="1"/>
  <c r="P103" i="1"/>
  <c r="K103" i="1" s="1"/>
  <c r="P108" i="1"/>
  <c r="K108" i="1" s="1"/>
  <c r="P96" i="1"/>
  <c r="K96" i="1" s="1"/>
  <c r="P98" i="1"/>
  <c r="K98" i="1" s="1"/>
  <c r="P100" i="1"/>
  <c r="K100" i="1" s="1"/>
  <c r="P94" i="1"/>
  <c r="K94" i="1" s="1"/>
  <c r="P90" i="1"/>
  <c r="K90" i="1" s="1"/>
  <c r="N90" i="1" s="1"/>
  <c r="E52" i="1"/>
  <c r="D30" i="1"/>
  <c r="C30" i="1"/>
  <c r="E30" i="1"/>
  <c r="C28" i="1"/>
  <c r="D28" i="1"/>
  <c r="H28" i="1" s="1"/>
  <c r="E28" i="1"/>
  <c r="I28" i="1" s="1"/>
  <c r="D27" i="1"/>
  <c r="H27" i="1" s="1"/>
  <c r="C27" i="1"/>
  <c r="E27" i="1"/>
  <c r="I27" i="1" s="1"/>
  <c r="E26" i="1"/>
  <c r="I26" i="1" s="1"/>
  <c r="C26" i="1"/>
  <c r="D26" i="1"/>
  <c r="H26" i="1" s="1"/>
  <c r="C25" i="1"/>
  <c r="D25" i="1"/>
  <c r="H25" i="1" s="1"/>
  <c r="E25" i="1"/>
  <c r="I25" i="1" s="1"/>
  <c r="G73" i="1" a="1"/>
  <c r="D73" i="1" a="1"/>
  <c r="C56" i="1" a="1"/>
  <c r="C73" i="1" a="1"/>
  <c r="F73" i="1" a="1"/>
  <c r="E73" i="1" a="1"/>
  <c r="H73" i="1" a="1"/>
  <c r="C20" i="8" l="1"/>
  <c r="C21" i="8"/>
  <c r="C22" i="8"/>
  <c r="F22" i="8" s="1"/>
  <c r="H22" i="8" s="1"/>
  <c r="C23" i="8"/>
  <c r="F23" i="8" s="1"/>
  <c r="H23" i="8" s="1"/>
  <c r="E16" i="6"/>
  <c r="F13" i="8" a="1"/>
  <c r="E15" i="6"/>
  <c r="U88" i="7"/>
  <c r="X88" i="7"/>
  <c r="W88" i="7"/>
  <c r="V88" i="7"/>
  <c r="T88" i="7"/>
  <c r="Y88" i="7"/>
  <c r="C21" i="6"/>
  <c r="C23" i="6"/>
  <c r="F23" i="6" s="1"/>
  <c r="H23" i="6" s="1"/>
  <c r="C22" i="6"/>
  <c r="F22" i="6" s="1"/>
  <c r="H22" i="6" s="1"/>
  <c r="C20" i="6"/>
  <c r="G13" i="6"/>
  <c r="E13" i="6"/>
  <c r="E14" i="6"/>
  <c r="G14" i="6"/>
  <c r="G17" i="6"/>
  <c r="E17" i="6"/>
  <c r="E14" i="3"/>
  <c r="G26" i="1"/>
  <c r="G28" i="1"/>
  <c r="E16" i="3"/>
  <c r="G27" i="1"/>
  <c r="E15" i="3"/>
  <c r="E13" i="3"/>
  <c r="G25" i="1"/>
  <c r="C22" i="3"/>
  <c r="F22" i="3" s="1"/>
  <c r="H22" i="3" s="1"/>
  <c r="C21" i="3"/>
  <c r="C23" i="3"/>
  <c r="F23" i="3" s="1"/>
  <c r="H23" i="3" s="1"/>
  <c r="C20" i="3"/>
  <c r="E17" i="3"/>
  <c r="G17" i="3"/>
  <c r="G14" i="3"/>
  <c r="G29" i="1"/>
  <c r="G13" i="3"/>
  <c r="E73" i="1"/>
  <c r="C73" i="1"/>
  <c r="D73" i="1"/>
  <c r="G75" i="1"/>
  <c r="G73" i="1"/>
  <c r="G74" i="1"/>
  <c r="E56" i="1"/>
  <c r="C56" i="1"/>
  <c r="D56" i="1"/>
  <c r="L72" i="1"/>
  <c r="H75" i="1"/>
  <c r="H74" i="1"/>
  <c r="H73" i="1"/>
  <c r="F74" i="1"/>
  <c r="F73" i="1"/>
  <c r="F75" i="1"/>
  <c r="C70" i="1" a="1"/>
  <c r="C70" i="1" s="1"/>
  <c r="F13" i="9" l="1" a="1"/>
  <c r="H14" i="8"/>
  <c r="E21" i="8" s="1"/>
  <c r="C28" i="8"/>
  <c r="E28" i="8" s="1"/>
  <c r="F13" i="8"/>
  <c r="C27" i="8"/>
  <c r="E27" i="8" s="1"/>
  <c r="C29" i="8"/>
  <c r="E29" i="8" s="1"/>
  <c r="F13" i="6" a="1"/>
  <c r="H14" i="6" s="1"/>
  <c r="E21" i="6" s="1"/>
  <c r="D51" i="1"/>
  <c r="L71" i="1" s="1"/>
  <c r="F13" i="3" a="1"/>
  <c r="E21" i="3" s="1"/>
  <c r="C50" i="1"/>
  <c r="L70" i="1" s="1"/>
  <c r="C55" i="1" a="1"/>
  <c r="C54" i="1" a="1"/>
  <c r="F13" i="9" l="1"/>
  <c r="C27" i="9"/>
  <c r="E27" i="9" s="1"/>
  <c r="C29" i="9"/>
  <c r="E29" i="9" s="1"/>
  <c r="C28" i="9"/>
  <c r="E28" i="9" s="1"/>
  <c r="H14" i="9"/>
  <c r="E21" i="9" s="1"/>
  <c r="D21" i="8"/>
  <c r="F21" i="8" s="1"/>
  <c r="H21" i="8" s="1"/>
  <c r="C26" i="8"/>
  <c r="E26" i="8" s="1"/>
  <c r="H13" i="8"/>
  <c r="E20" i="8" s="1"/>
  <c r="F13" i="3"/>
  <c r="C28" i="3"/>
  <c r="E28" i="3" s="1"/>
  <c r="C29" i="3"/>
  <c r="E29" i="3" s="1"/>
  <c r="C27" i="3"/>
  <c r="E27" i="3" s="1"/>
  <c r="F13" i="6"/>
  <c r="D21" i="6"/>
  <c r="F21" i="6" s="1"/>
  <c r="H21" i="6" s="1"/>
  <c r="C29" i="6"/>
  <c r="E29" i="6" s="1"/>
  <c r="C27" i="6"/>
  <c r="E27" i="6" s="1"/>
  <c r="C28" i="6"/>
  <c r="E28" i="6" s="1"/>
  <c r="D55" i="1"/>
  <c r="E55" i="1"/>
  <c r="C55" i="1"/>
  <c r="D21" i="3"/>
  <c r="F21" i="3" s="1"/>
  <c r="H21" i="3" s="1"/>
  <c r="C54" i="1"/>
  <c r="E54" i="1"/>
  <c r="D54" i="1"/>
  <c r="C26" i="9" l="1"/>
  <c r="E26" i="9" s="1"/>
  <c r="E20" i="9"/>
  <c r="D21" i="9"/>
  <c r="F21" i="9" s="1"/>
  <c r="H21" i="9" s="1"/>
  <c r="D20" i="8"/>
  <c r="F20" i="8" s="1"/>
  <c r="H20" i="8" s="1"/>
  <c r="C26" i="6"/>
  <c r="E26" i="6" s="1"/>
  <c r="H13" i="6"/>
  <c r="E20" i="6" s="1"/>
  <c r="L75" i="1"/>
  <c r="C26" i="3"/>
  <c r="E26" i="3" s="1"/>
  <c r="L74" i="1"/>
  <c r="L73" i="1"/>
  <c r="D20" i="9" l="1"/>
  <c r="F20" i="9" s="1"/>
  <c r="H20" i="9" s="1"/>
  <c r="O70" i="1" a="1"/>
  <c r="O70" i="1" s="1"/>
  <c r="E20" i="3"/>
  <c r="D20" i="3"/>
  <c r="D20" i="6"/>
  <c r="F20" i="6" s="1"/>
  <c r="H20" i="6" s="1"/>
  <c r="O72" i="1" l="1"/>
  <c r="O75" i="1"/>
  <c r="O71" i="1"/>
  <c r="O74" i="1"/>
  <c r="O73" i="1"/>
  <c r="F20" i="3"/>
  <c r="H20" i="3" s="1"/>
  <c r="T88" i="1" a="1"/>
  <c r="X88" i="1" s="1"/>
  <c r="U88" i="1" l="1"/>
  <c r="V88" i="1"/>
  <c r="Y88" i="1"/>
  <c r="W88" i="1"/>
  <c r="T88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<sst xmlns="http://schemas.openxmlformats.org/spreadsheetml/2006/main" count="697" uniqueCount="203">
  <si>
    <t>Inboard (P1)</t>
  </si>
  <si>
    <t>x</t>
  </si>
  <si>
    <t>y</t>
  </si>
  <si>
    <t>z</t>
  </si>
  <si>
    <t>Outboard (P2)</t>
  </si>
  <si>
    <t>Fx</t>
  </si>
  <si>
    <t>Fy</t>
  </si>
  <si>
    <t>Fz</t>
  </si>
  <si>
    <t>Moment Center</t>
  </si>
  <si>
    <t>Up-Fore</t>
  </si>
  <si>
    <t>Up-Aft</t>
  </si>
  <si>
    <t>Low-Fore</t>
  </si>
  <si>
    <t>Low-Aft</t>
  </si>
  <si>
    <t>Push/Pull</t>
  </si>
  <si>
    <t>Tie/Toe</t>
  </si>
  <si>
    <t>m</t>
  </si>
  <si>
    <t>m_carPlusDriver</t>
  </si>
  <si>
    <t>h_centerOfGravity</t>
  </si>
  <si>
    <t>Wheelbase</t>
  </si>
  <si>
    <t>kg</t>
  </si>
  <si>
    <t>Inputs</t>
  </si>
  <si>
    <t>Unit Vectors</t>
  </si>
  <si>
    <t>Moment Arm (Dist to Moment Center)</t>
  </si>
  <si>
    <t>Calculations</t>
  </si>
  <si>
    <r>
      <rPr>
        <sz val="11"/>
        <color theme="1"/>
        <rFont val="Calibri"/>
        <family val="2"/>
      </rPr>
      <t>Σ</t>
    </r>
    <r>
      <rPr>
        <sz val="11"/>
        <color theme="1"/>
        <rFont val="Calibri"/>
        <family val="2"/>
        <scheme val="minor"/>
      </rPr>
      <t>Fx</t>
    </r>
  </si>
  <si>
    <t>ΣFy</t>
  </si>
  <si>
    <t>ΣFz</t>
  </si>
  <si>
    <t>ΣMx</t>
  </si>
  <si>
    <t>ΣMy</t>
  </si>
  <si>
    <t>ΣMz</t>
  </si>
  <si>
    <t>*</t>
  </si>
  <si>
    <t>F_Up-Fore</t>
  </si>
  <si>
    <t>F_Up-Aft</t>
  </si>
  <si>
    <t>F_Low-Fore</t>
  </si>
  <si>
    <t>F_Low-Aft</t>
  </si>
  <si>
    <t>F_Push/Pull</t>
  </si>
  <si>
    <t>F_Tie/Toe</t>
  </si>
  <si>
    <t>=</t>
  </si>
  <si>
    <t>Loadcase Name</t>
  </si>
  <si>
    <t>Failure Mode</t>
  </si>
  <si>
    <t>Velocity</t>
  </si>
  <si>
    <t>Aero Down</t>
  </si>
  <si>
    <t>Aero Drag</t>
  </si>
  <si>
    <t>+ for accel</t>
  </si>
  <si>
    <t>+outside for wheel</t>
  </si>
  <si>
    <t>None</t>
  </si>
  <si>
    <t>Fatigue</t>
  </si>
  <si>
    <t>Static</t>
  </si>
  <si>
    <t>Max Braking</t>
  </si>
  <si>
    <t>Max Turn</t>
  </si>
  <si>
    <t>Max Speed</t>
  </si>
  <si>
    <t>Max Accel</t>
  </si>
  <si>
    <t>Combined 1</t>
  </si>
  <si>
    <t>Combined 2</t>
  </si>
  <si>
    <t>Yield/Buckle</t>
  </si>
  <si>
    <t>Max Bump</t>
  </si>
  <si>
    <t>Inside No WT</t>
  </si>
  <si>
    <t>Reverse Braking</t>
  </si>
  <si>
    <t>Fx-Added Height</t>
  </si>
  <si>
    <t>For Driveshafts</t>
  </si>
  <si>
    <t>r_tireLoaded</t>
  </si>
  <si>
    <t>A</t>
  </si>
  <si>
    <t>X</t>
  </si>
  <si>
    <t>X = A-1 * b</t>
  </si>
  <si>
    <t>Highest Operating Force</t>
  </si>
  <si>
    <t>Fatigue (only in tension)</t>
  </si>
  <si>
    <t>N</t>
  </si>
  <si>
    <t>Buckling</t>
  </si>
  <si>
    <t>Tens</t>
  </si>
  <si>
    <t>Column PPTYs</t>
  </si>
  <si>
    <t>OD</t>
  </si>
  <si>
    <t>in</t>
  </si>
  <si>
    <t>Wall</t>
  </si>
  <si>
    <t>Length</t>
  </si>
  <si>
    <t>Fy_car</t>
  </si>
  <si>
    <t>Fx_car</t>
  </si>
  <si>
    <t>Fz_%</t>
  </si>
  <si>
    <t>WT_lateral</t>
  </si>
  <si>
    <t>WT_long</t>
  </si>
  <si>
    <t>M from Fx</t>
  </si>
  <si>
    <t>M from Fy</t>
  </si>
  <si>
    <t>M from Fz</t>
  </si>
  <si>
    <t>Locations of Applied Forces from Tire on Ground</t>
  </si>
  <si>
    <t>Applied Forces</t>
  </si>
  <si>
    <t>Force Vectors</t>
  </si>
  <si>
    <t>Loadcase #:</t>
  </si>
  <si>
    <t>Mx</t>
  </si>
  <si>
    <t>My</t>
  </si>
  <si>
    <t>Mz</t>
  </si>
  <si>
    <t>Fatigue in Tension</t>
  </si>
  <si>
    <t>Buckling/Compression</t>
  </si>
  <si>
    <t>Compression Yield</t>
  </si>
  <si>
    <t>Tension Yield</t>
  </si>
  <si>
    <t>Euler Buckling</t>
  </si>
  <si>
    <t>Long (Gs)</t>
  </si>
  <si>
    <t>Lat (Gs)</t>
  </si>
  <si>
    <t>Change Load Cases (From 2.000 to 22.000!)</t>
  </si>
  <si>
    <t>Track Width</t>
  </si>
  <si>
    <t>gravity constant</t>
  </si>
  <si>
    <t>b (applied forces)</t>
  </si>
  <si>
    <t>Compression</t>
  </si>
  <si>
    <t xml:space="preserve">Inputs (MY24 SusP) (in mm and z swapped) </t>
  </si>
  <si>
    <t>Inputs (MY24 Suspension Points) (in)</t>
  </si>
  <si>
    <t>Inputs (Old MY18 Suspension Points) (mm)</t>
  </si>
  <si>
    <t xml:space="preserve"> </t>
  </si>
  <si>
    <t>STEEL</t>
  </si>
  <si>
    <t>Thickness (in)</t>
  </si>
  <si>
    <t>Thickness (m)</t>
  </si>
  <si>
    <t>Pi</t>
  </si>
  <si>
    <t>Yield Strength (Pa)</t>
  </si>
  <si>
    <t>Factor of Safety</t>
  </si>
  <si>
    <t>Elastic/Youngs Modulus (Pa)</t>
  </si>
  <si>
    <t>Second Moment of Area (m^4)</t>
  </si>
  <si>
    <t>Outer Radius (in)</t>
  </si>
  <si>
    <t>Outer Radius (m)</t>
  </si>
  <si>
    <t>Cross Section of Area (m^2)</t>
  </si>
  <si>
    <t>FRONT A-ARMS</t>
  </si>
  <si>
    <t>Tensile Load (N)</t>
  </si>
  <si>
    <t>Compressive Load (N)</t>
  </si>
  <si>
    <t>A-Arm Member Data</t>
  </si>
  <si>
    <t>Pullrod</t>
  </si>
  <si>
    <t>Length (m)</t>
  </si>
  <si>
    <t>Length (mm)</t>
  </si>
  <si>
    <t>Inner Radius (m)</t>
  </si>
  <si>
    <t>Euler Buckling SMA Required (m^4)</t>
  </si>
  <si>
    <t>Degree To Pullrod (Radians)</t>
  </si>
  <si>
    <t>Stress Type By Member</t>
  </si>
  <si>
    <t xml:space="preserve">Vertical Force Exerted By Pullrod </t>
  </si>
  <si>
    <t>Axial Stress (Pa)</t>
  </si>
  <si>
    <t>Bending Stress Due to Pullrod (Pa)</t>
  </si>
  <si>
    <t>Von Mises Stress (Pa)</t>
  </si>
  <si>
    <t>Shear Stress Due to Pullrod (Pa)</t>
  </si>
  <si>
    <t>Margin</t>
  </si>
  <si>
    <t>Euler Buckling Margin</t>
  </si>
  <si>
    <t>Pullrod Moment Arm (in)</t>
  </si>
  <si>
    <t>Pullrod Moment Arm (m)</t>
  </si>
  <si>
    <t>CARBON FIBER</t>
  </si>
  <si>
    <t>Ultimate Compressive Strength (Pa)</t>
  </si>
  <si>
    <t>Compressive Modulus (Pa)</t>
  </si>
  <si>
    <t>Density (kg/m^3)</t>
  </si>
  <si>
    <t>REAR A-ARMS</t>
  </si>
  <si>
    <t>Tube Force Script Outputs</t>
  </si>
  <si>
    <t>Front</t>
  </si>
  <si>
    <t>Rear</t>
  </si>
  <si>
    <t>Max Tension Forces [N]</t>
  </si>
  <si>
    <t>Max Compression Forces [N]</t>
  </si>
  <si>
    <t>Inches to meters</t>
  </si>
  <si>
    <t xml:space="preserve">Margin </t>
  </si>
  <si>
    <t>JMX5</t>
  </si>
  <si>
    <t>Rod End Specs</t>
  </si>
  <si>
    <t>Rod End Minor Radius [m]</t>
  </si>
  <si>
    <t>Threads per inch</t>
  </si>
  <si>
    <t>Lowercase L [in]</t>
  </si>
  <si>
    <t>Lowercase L [m]</t>
  </si>
  <si>
    <t>JMX3</t>
  </si>
  <si>
    <t>JMX4</t>
  </si>
  <si>
    <t>Pull Rod</t>
  </si>
  <si>
    <t>Toe/Tie</t>
  </si>
  <si>
    <t>Test</t>
  </si>
  <si>
    <t>Units</t>
  </si>
  <si>
    <t>Pa</t>
  </si>
  <si>
    <t>m^4</t>
  </si>
  <si>
    <t>m^2</t>
  </si>
  <si>
    <t>N*m</t>
  </si>
  <si>
    <t xml:space="preserve">Von Mises Stress </t>
  </si>
  <si>
    <t xml:space="preserve">Normal Stress </t>
  </si>
  <si>
    <t>Shear Stress</t>
  </si>
  <si>
    <t xml:space="preserve">Bending Stress </t>
  </si>
  <si>
    <t xml:space="preserve">Bending Moment at Cross-Section </t>
  </si>
  <si>
    <t xml:space="preserve">R_z Reaction Force </t>
  </si>
  <si>
    <t>Cross Sectional Area</t>
  </si>
  <si>
    <t xml:space="preserve">Area Moment of Inertia </t>
  </si>
  <si>
    <t xml:space="preserve">Maximum Tube Force </t>
  </si>
  <si>
    <t xml:space="preserve">Maximum Pull Rod Tension </t>
  </si>
  <si>
    <r>
      <t xml:space="preserve">Rod End Minor Radius </t>
    </r>
    <r>
      <rPr>
        <b/>
        <sz val="10"/>
        <rFont val="Arial"/>
        <family val="2"/>
      </rPr>
      <t>from Rod End Specs</t>
    </r>
  </si>
  <si>
    <r>
      <t>Lowercase L</t>
    </r>
    <r>
      <rPr>
        <b/>
        <sz val="10"/>
        <rFont val="Arial"/>
        <family val="2"/>
      </rPr>
      <t xml:space="preserve"> from Rod End Specs</t>
    </r>
  </si>
  <si>
    <t xml:space="preserve">Control Arm Length Point-to-Point from CAD </t>
  </si>
  <si>
    <t xml:space="preserve">Perpendicular Distance d from CAD </t>
  </si>
  <si>
    <t xml:space="preserve">Yield Strength </t>
  </si>
  <si>
    <t>JMX6</t>
  </si>
  <si>
    <t>Distance from Suspension Point to Start of Threads [in]</t>
  </si>
  <si>
    <t>Bending Calcs</t>
  </si>
  <si>
    <t>Axial Calcs</t>
  </si>
  <si>
    <t>Front Up-Fore</t>
  </si>
  <si>
    <t>Front Up_Aft</t>
  </si>
  <si>
    <t>Rear Up-Fore</t>
  </si>
  <si>
    <t>Rear Up-Aft</t>
  </si>
  <si>
    <t>Ult Radial Load [N]</t>
  </si>
  <si>
    <t>Ult. Static Radial Load</t>
  </si>
  <si>
    <t>Max radial Load (Tens/Comp)</t>
  </si>
  <si>
    <t>FOS</t>
  </si>
  <si>
    <t>Rod End Choice</t>
  </si>
  <si>
    <t>Length of 3 threads [in]</t>
  </si>
  <si>
    <t>https://www.fkrodends.com/products/rod-ends/precision-series/jmx-jfx/</t>
  </si>
  <si>
    <t>w</t>
  </si>
  <si>
    <t>Sphericals</t>
  </si>
  <si>
    <t>Front UBJ</t>
  </si>
  <si>
    <t>Front LBJ</t>
  </si>
  <si>
    <t>Rear UBJ</t>
  </si>
  <si>
    <t>Rear LBJ</t>
  </si>
  <si>
    <t>FKS3</t>
  </si>
  <si>
    <t>FKS4</t>
  </si>
  <si>
    <t>FKS5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</si>
</sst>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00"/>
    <numFmt numFmtId="165" formatCode="0.000E+00"/>
    <numFmt numFmtId="166" formatCode="0.0000"/>
    <numFmt numFmtId="167" formatCode="0.000000"/>
    <numFmt numFmtId="168" formatCode="0.00000"/>
  </numFmts>
  <fonts count="18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name val="Calibri"/>
      <family val="2"/>
    </font>
    <font>
      <b/>
      <sz val="11"/>
      <color theme="1"/>
      <name val="Calibri"/>
      <family val="2"/>
    </font>
    <font>
      <sz val="11"/>
      <color theme="0" tint="-0.499984740745262"/>
      <name val="Calibri"/>
      <family val="2"/>
      <scheme val="minor"/>
    </font>
    <font>
      <b/>
      <sz val="11"/>
      <color theme="0" tint="-0.499984740745262"/>
      <name val="Calibri"/>
      <family val="2"/>
      <scheme val="minor"/>
    </font>
    <font>
      <b/>
      <sz val="11"/>
      <name val="Calibri"/>
      <family val="2"/>
    </font>
    <font>
      <sz val="1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u/>
      <sz val="10"/>
      <color theme="10"/>
      <name val="Arial"/>
      <family val="2"/>
    </font>
    <font>
      <b/>
      <u/>
      <sz val="11"/>
      <color theme="1"/>
      <name val="Calibri"/>
      <family val="2"/>
      <scheme val="minor"/>
    </font>
    <font>
      <b/>
      <u/>
      <sz val="11"/>
      <color theme="1"/>
      <name val="Calibri (Body)"/>
    </font>
  </fonts>
  <fills count="22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B7DEE8"/>
        <bgColor rgb="FF000000"/>
      </patternFill>
    </fill>
    <fill>
      <patternFill patternType="solid">
        <fgColor theme="5" tint="0.59999389629810485"/>
        <bgColor rgb="FF000000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ABF8F"/>
        <bgColor rgb="FF000000"/>
      </patternFill>
    </fill>
    <fill>
      <patternFill patternType="solid">
        <fgColor rgb="FFCCC0DA"/>
        <bgColor rgb="FF000000"/>
      </patternFill>
    </fill>
    <fill>
      <patternFill patternType="solid">
        <fgColor rgb="FFB1A0C7"/>
        <bgColor rgb="FF000000"/>
      </patternFill>
    </fill>
    <fill>
      <patternFill patternType="solid">
        <fgColor rgb="FFEDBAB9"/>
        <bgColor rgb="FF000000"/>
      </patternFill>
    </fill>
    <fill>
      <patternFill patternType="solid">
        <fgColor rgb="FFEDBAB9"/>
        <bgColor indexed="64"/>
      </patternFill>
    </fill>
    <fill>
      <patternFill patternType="solid">
        <fgColor rgb="FFD3C3E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rgb="FFFFFF00"/>
      </patternFill>
    </fill>
  </fills>
  <borders count="37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 style="medium">
        <color auto="1"/>
      </right>
      <top/>
      <bottom/>
      <diagonal/>
    </border>
    <border>
      <left style="thin">
        <color rgb="FFFF0000"/>
      </left>
      <right/>
      <top style="thin">
        <color rgb="FFFF0000"/>
      </top>
      <bottom style="thin">
        <color rgb="FFFF0000"/>
      </bottom>
      <diagonal/>
    </border>
    <border>
      <left style="thin">
        <color rgb="FFFF0000"/>
      </left>
      <right style="thin">
        <color rgb="FFFF0000"/>
      </right>
      <top style="thin">
        <color rgb="FFFF0000"/>
      </top>
      <bottom/>
      <diagonal/>
    </border>
    <border>
      <left style="thin">
        <color rgb="FFFF0000"/>
      </left>
      <right style="thin">
        <color rgb="FFFF0000"/>
      </right>
      <top/>
      <bottom/>
      <diagonal/>
    </border>
    <border>
      <left style="thin">
        <color rgb="FFFF0000"/>
      </left>
      <right style="thin">
        <color rgb="FFFF0000"/>
      </right>
      <top/>
      <bottom style="thin">
        <color rgb="FFFF0000"/>
      </bottom>
      <diagonal/>
    </border>
    <border>
      <left style="thin">
        <color rgb="FF7030A0"/>
      </left>
      <right style="thin">
        <color rgb="FF7030A0"/>
      </right>
      <top style="thin">
        <color rgb="FF7030A0"/>
      </top>
      <bottom/>
      <diagonal/>
    </border>
    <border>
      <left style="thin">
        <color rgb="FF7030A0"/>
      </left>
      <right style="thin">
        <color rgb="FF7030A0"/>
      </right>
      <top/>
      <bottom/>
      <diagonal/>
    </border>
    <border>
      <left style="thin">
        <color rgb="FF7030A0"/>
      </left>
      <right style="thin">
        <color rgb="FF7030A0"/>
      </right>
      <top/>
      <bottom style="thin">
        <color rgb="FF7030A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4">
    <xf numFmtId="0" fontId="0" fillId="0" borderId="0"/>
    <xf numFmtId="0" fontId="1" fillId="2" borderId="1" applyNumberFormat="0" applyAlignment="0" applyProtection="0"/>
    <xf numFmtId="2" fontId="2" fillId="3" borderId="2" applyAlignment="0" applyProtection="0"/>
    <xf numFmtId="0" fontId="15" fillId="0" borderId="0" applyNumberFormat="0" applyFill="0" applyBorder="0" applyAlignment="0" applyProtection="0"/>
  </cellStyleXfs>
  <cellXfs count="163">
    <xf numFmtId="0" fontId="0" fillId="0" borderId="0" xfId="0"/>
    <xf numFmtId="164" fontId="3" fillId="7" borderId="10" xfId="0" applyNumberFormat="1" applyFont="1" applyFill="1" applyBorder="1" applyProtection="1">
      <protection locked="0"/>
    </xf>
    <xf numFmtId="164" fontId="3" fillId="7" borderId="0" xfId="0" applyNumberFormat="1" applyFont="1" applyFill="1" applyProtection="1">
      <protection locked="0"/>
    </xf>
    <xf numFmtId="164" fontId="3" fillId="7" borderId="27" xfId="0" applyNumberFormat="1" applyFont="1" applyFill="1" applyBorder="1" applyProtection="1">
      <protection locked="0"/>
    </xf>
    <xf numFmtId="164" fontId="0" fillId="0" borderId="10" xfId="0" applyNumberFormat="1" applyBorder="1"/>
    <xf numFmtId="164" fontId="0" fillId="0" borderId="0" xfId="0" applyNumberFormat="1"/>
    <xf numFmtId="164" fontId="0" fillId="0" borderId="27" xfId="0" applyNumberFormat="1" applyBorder="1"/>
    <xf numFmtId="164" fontId="5" fillId="0" borderId="0" xfId="0" applyNumberFormat="1" applyFont="1" applyProtection="1">
      <protection locked="0"/>
    </xf>
    <xf numFmtId="164" fontId="8" fillId="0" borderId="21" xfId="0" applyNumberFormat="1" applyFont="1" applyBorder="1" applyAlignment="1" applyProtection="1">
      <alignment horizontal="centerContinuous"/>
      <protection locked="0"/>
    </xf>
    <xf numFmtId="164" fontId="5" fillId="0" borderId="5" xfId="0" applyNumberFormat="1" applyFont="1" applyBorder="1" applyAlignment="1" applyProtection="1">
      <alignment horizontal="centerContinuous"/>
      <protection locked="0"/>
    </xf>
    <xf numFmtId="164" fontId="5" fillId="0" borderId="6" xfId="0" applyNumberFormat="1" applyFont="1" applyBorder="1" applyAlignment="1" applyProtection="1">
      <alignment horizontal="centerContinuous"/>
      <protection locked="0"/>
    </xf>
    <xf numFmtId="164" fontId="5" fillId="0" borderId="21" xfId="0" applyNumberFormat="1" applyFont="1" applyBorder="1" applyAlignment="1" applyProtection="1">
      <alignment horizontal="centerContinuous"/>
      <protection locked="0"/>
    </xf>
    <xf numFmtId="164" fontId="6" fillId="0" borderId="0" xfId="0" applyNumberFormat="1" applyFont="1" applyProtection="1">
      <protection locked="0"/>
    </xf>
    <xf numFmtId="164" fontId="5" fillId="0" borderId="21" xfId="0" applyNumberFormat="1" applyFont="1" applyBorder="1" applyAlignment="1" applyProtection="1">
      <alignment horizontal="center"/>
      <protection locked="0"/>
    </xf>
    <xf numFmtId="164" fontId="5" fillId="0" borderId="5" xfId="0" applyNumberFormat="1" applyFont="1" applyBorder="1" applyAlignment="1" applyProtection="1">
      <alignment horizontal="center"/>
      <protection locked="0"/>
    </xf>
    <xf numFmtId="164" fontId="5" fillId="0" borderId="6" xfId="0" applyNumberFormat="1" applyFont="1" applyBorder="1" applyAlignment="1" applyProtection="1">
      <alignment horizontal="center"/>
      <protection locked="0"/>
    </xf>
    <xf numFmtId="164" fontId="7" fillId="4" borderId="0" xfId="1" applyNumberFormat="1" applyFont="1" applyFill="1" applyBorder="1" applyProtection="1">
      <protection locked="0"/>
    </xf>
    <xf numFmtId="164" fontId="5" fillId="0" borderId="0" xfId="0" applyNumberFormat="1" applyFont="1" applyAlignment="1" applyProtection="1">
      <alignment horizontal="centerContinuous"/>
      <protection locked="0"/>
    </xf>
    <xf numFmtId="164" fontId="8" fillId="0" borderId="18" xfId="0" applyNumberFormat="1" applyFont="1" applyBorder="1" applyAlignment="1" applyProtection="1">
      <alignment horizontal="centerContinuous"/>
      <protection locked="0"/>
    </xf>
    <xf numFmtId="164" fontId="8" fillId="0" borderId="8" xfId="0" applyNumberFormat="1" applyFont="1" applyBorder="1" applyAlignment="1" applyProtection="1">
      <alignment horizontal="centerContinuous"/>
      <protection locked="0"/>
    </xf>
    <xf numFmtId="164" fontId="8" fillId="0" borderId="9" xfId="0" applyNumberFormat="1" applyFont="1" applyBorder="1" applyAlignment="1" applyProtection="1">
      <alignment horizontal="centerContinuous"/>
      <protection locked="0"/>
    </xf>
    <xf numFmtId="164" fontId="5" fillId="0" borderId="18" xfId="0" applyNumberFormat="1" applyFont="1" applyBorder="1" applyAlignment="1" applyProtection="1">
      <alignment horizontal="centerContinuous"/>
      <protection locked="0"/>
    </xf>
    <xf numFmtId="164" fontId="5" fillId="0" borderId="8" xfId="0" applyNumberFormat="1" applyFont="1" applyBorder="1" applyAlignment="1" applyProtection="1">
      <alignment horizontal="centerContinuous"/>
      <protection locked="0"/>
    </xf>
    <xf numFmtId="164" fontId="5" fillId="0" borderId="9" xfId="0" applyNumberFormat="1" applyFont="1" applyBorder="1" applyAlignment="1" applyProtection="1">
      <alignment horizontal="centerContinuous"/>
      <protection locked="0"/>
    </xf>
    <xf numFmtId="164" fontId="7" fillId="11" borderId="28" xfId="1" applyNumberFormat="1" applyFont="1" applyFill="1" applyBorder="1" applyProtection="1">
      <protection locked="0"/>
    </xf>
    <xf numFmtId="164" fontId="0" fillId="0" borderId="0" xfId="0" quotePrefix="1" applyNumberFormat="1"/>
    <xf numFmtId="164" fontId="0" fillId="0" borderId="7" xfId="0" applyNumberFormat="1" applyBorder="1" applyAlignment="1" applyProtection="1">
      <alignment horizontal="left"/>
      <protection locked="0"/>
    </xf>
    <xf numFmtId="164" fontId="0" fillId="0" borderId="8" xfId="0" applyNumberFormat="1" applyBorder="1" applyAlignment="1" applyProtection="1">
      <alignment horizontal="centerContinuous"/>
      <protection locked="0"/>
    </xf>
    <xf numFmtId="164" fontId="7" fillId="4" borderId="21" xfId="1" applyNumberFormat="1" applyFont="1" applyFill="1" applyBorder="1" applyProtection="1">
      <protection locked="0"/>
    </xf>
    <xf numFmtId="164" fontId="7" fillId="4" borderId="5" xfId="1" applyNumberFormat="1" applyFont="1" applyFill="1" applyBorder="1" applyProtection="1">
      <protection locked="0"/>
    </xf>
    <xf numFmtId="164" fontId="7" fillId="4" borderId="6" xfId="1" applyNumberFormat="1" applyFont="1" applyFill="1" applyBorder="1" applyProtection="1">
      <protection locked="0"/>
    </xf>
    <xf numFmtId="164" fontId="7" fillId="5" borderId="18" xfId="1" applyNumberFormat="1" applyFont="1" applyFill="1" applyBorder="1" applyProtection="1">
      <protection locked="0"/>
    </xf>
    <xf numFmtId="164" fontId="0" fillId="6" borderId="18" xfId="0" applyNumberFormat="1" applyFill="1" applyBorder="1"/>
    <xf numFmtId="164" fontId="9" fillId="6" borderId="8" xfId="0" applyNumberFormat="1" applyFont="1" applyFill="1" applyBorder="1"/>
    <xf numFmtId="164" fontId="9" fillId="6" borderId="9" xfId="0" applyNumberFormat="1" applyFont="1" applyFill="1" applyBorder="1"/>
    <xf numFmtId="164" fontId="9" fillId="6" borderId="19" xfId="0" applyNumberFormat="1" applyFont="1" applyFill="1" applyBorder="1"/>
    <xf numFmtId="164" fontId="9" fillId="6" borderId="11" xfId="0" applyNumberFormat="1" applyFont="1" applyFill="1" applyBorder="1"/>
    <xf numFmtId="164" fontId="9" fillId="6" borderId="20" xfId="0" applyNumberFormat="1" applyFont="1" applyFill="1" applyBorder="1"/>
    <xf numFmtId="164" fontId="9" fillId="6" borderId="15" xfId="0" applyNumberFormat="1" applyFont="1" applyFill="1" applyBorder="1"/>
    <xf numFmtId="164" fontId="12" fillId="6" borderId="21" xfId="0" applyNumberFormat="1" applyFont="1" applyFill="1" applyBorder="1"/>
    <xf numFmtId="164" fontId="12" fillId="6" borderId="5" xfId="0" applyNumberFormat="1" applyFont="1" applyFill="1" applyBorder="1"/>
    <xf numFmtId="164" fontId="12" fillId="6" borderId="6" xfId="0" applyNumberFormat="1" applyFont="1" applyFill="1" applyBorder="1"/>
    <xf numFmtId="164" fontId="0" fillId="0" borderId="0" xfId="0" quotePrefix="1" applyNumberFormat="1" applyAlignment="1">
      <alignment horizontal="center"/>
    </xf>
    <xf numFmtId="164" fontId="0" fillId="12" borderId="29" xfId="0" applyNumberFormat="1" applyFill="1" applyBorder="1"/>
    <xf numFmtId="164" fontId="5" fillId="0" borderId="22" xfId="0" applyNumberFormat="1" applyFont="1" applyBorder="1" applyProtection="1">
      <protection locked="0"/>
    </xf>
    <xf numFmtId="164" fontId="0" fillId="6" borderId="22" xfId="0" applyNumberFormat="1" applyFill="1" applyBorder="1"/>
    <xf numFmtId="164" fontId="3" fillId="6" borderId="22" xfId="0" applyNumberFormat="1" applyFont="1" applyFill="1" applyBorder="1"/>
    <xf numFmtId="164" fontId="0" fillId="12" borderId="30" xfId="0" applyNumberFormat="1" applyFill="1" applyBorder="1"/>
    <xf numFmtId="164" fontId="5" fillId="0" borderId="23" xfId="0" applyNumberFormat="1" applyFont="1" applyBorder="1" applyProtection="1">
      <protection locked="0"/>
    </xf>
    <xf numFmtId="164" fontId="0" fillId="6" borderId="23" xfId="0" applyNumberFormat="1" applyFill="1" applyBorder="1"/>
    <xf numFmtId="164" fontId="3" fillId="6" borderId="23" xfId="0" applyNumberFormat="1" applyFont="1" applyFill="1" applyBorder="1"/>
    <xf numFmtId="164" fontId="0" fillId="12" borderId="31" xfId="0" applyNumberFormat="1" applyFill="1" applyBorder="1"/>
    <xf numFmtId="164" fontId="0" fillId="13" borderId="32" xfId="0" applyNumberFormat="1" applyFill="1" applyBorder="1"/>
    <xf numFmtId="164" fontId="0" fillId="0" borderId="0" xfId="0" applyNumberFormat="1" applyAlignment="1">
      <alignment horizontal="center"/>
    </xf>
    <xf numFmtId="164" fontId="0" fillId="13" borderId="33" xfId="0" applyNumberFormat="1" applyFill="1" applyBorder="1"/>
    <xf numFmtId="164" fontId="0" fillId="13" borderId="34" xfId="0" applyNumberFormat="1" applyFill="1" applyBorder="1"/>
    <xf numFmtId="164" fontId="5" fillId="0" borderId="24" xfId="0" applyNumberFormat="1" applyFont="1" applyBorder="1" applyProtection="1">
      <protection locked="0"/>
    </xf>
    <xf numFmtId="164" fontId="0" fillId="6" borderId="24" xfId="0" applyNumberFormat="1" applyFill="1" applyBorder="1"/>
    <xf numFmtId="164" fontId="3" fillId="6" borderId="24" xfId="0" applyNumberFormat="1" applyFont="1" applyFill="1" applyBorder="1"/>
    <xf numFmtId="164" fontId="3" fillId="0" borderId="0" xfId="0" applyNumberFormat="1" applyFont="1"/>
    <xf numFmtId="164" fontId="0" fillId="6" borderId="17" xfId="0" applyNumberFormat="1" applyFill="1" applyBorder="1" applyAlignment="1">
      <alignment horizontal="center"/>
    </xf>
    <xf numFmtId="164" fontId="5" fillId="0" borderId="17" xfId="0" applyNumberFormat="1" applyFont="1" applyBorder="1" applyAlignment="1" applyProtection="1">
      <alignment horizontal="center"/>
      <protection locked="0"/>
    </xf>
    <xf numFmtId="164" fontId="3" fillId="6" borderId="17" xfId="0" applyNumberFormat="1" applyFont="1" applyFill="1" applyBorder="1" applyAlignment="1">
      <alignment horizontal="center"/>
    </xf>
    <xf numFmtId="164" fontId="0" fillId="0" borderId="0" xfId="0" applyNumberFormat="1" applyAlignment="1">
      <alignment horizontal="right"/>
    </xf>
    <xf numFmtId="164" fontId="9" fillId="0" borderId="0" xfId="0" applyNumberFormat="1" applyFont="1"/>
    <xf numFmtId="164" fontId="0" fillId="0" borderId="0" xfId="0" applyNumberFormat="1" applyProtection="1">
      <protection locked="0"/>
    </xf>
    <xf numFmtId="164" fontId="3" fillId="0" borderId="0" xfId="0" applyNumberFormat="1" applyFont="1" applyProtection="1">
      <protection locked="0"/>
    </xf>
    <xf numFmtId="164" fontId="6" fillId="0" borderId="0" xfId="0" quotePrefix="1" applyNumberFormat="1" applyFont="1" applyProtection="1">
      <protection locked="0"/>
    </xf>
    <xf numFmtId="164" fontId="9" fillId="0" borderId="0" xfId="0" quotePrefix="1" applyNumberFormat="1" applyFont="1"/>
    <xf numFmtId="164" fontId="9" fillId="0" borderId="0" xfId="0" applyNumberFormat="1" applyFont="1" applyProtection="1">
      <protection locked="0"/>
    </xf>
    <xf numFmtId="164" fontId="6" fillId="0" borderId="18" xfId="0" applyNumberFormat="1" applyFont="1" applyBorder="1"/>
    <xf numFmtId="164" fontId="5" fillId="0" borderId="18" xfId="0" applyNumberFormat="1" applyFont="1" applyBorder="1"/>
    <xf numFmtId="164" fontId="5" fillId="0" borderId="8" xfId="0" applyNumberFormat="1" applyFont="1" applyBorder="1"/>
    <xf numFmtId="164" fontId="5" fillId="0" borderId="9" xfId="0" applyNumberFormat="1" applyFont="1" applyBorder="1"/>
    <xf numFmtId="164" fontId="5" fillId="0" borderId="8" xfId="0" applyNumberFormat="1" applyFont="1" applyBorder="1" applyAlignment="1">
      <alignment horizontal="right"/>
    </xf>
    <xf numFmtId="164" fontId="5" fillId="0" borderId="22" xfId="0" applyNumberFormat="1" applyFont="1" applyBorder="1"/>
    <xf numFmtId="164" fontId="2" fillId="3" borderId="3" xfId="2" applyNumberFormat="1" applyBorder="1" applyProtection="1">
      <protection locked="0"/>
    </xf>
    <xf numFmtId="164" fontId="2" fillId="3" borderId="4" xfId="2" applyNumberFormat="1" applyBorder="1" applyProtection="1">
      <protection locked="0"/>
    </xf>
    <xf numFmtId="164" fontId="2" fillId="3" borderId="25" xfId="2" applyNumberFormat="1" applyBorder="1" applyProtection="1">
      <protection locked="0"/>
    </xf>
    <xf numFmtId="164" fontId="4" fillId="0" borderId="0" xfId="0" applyNumberFormat="1" applyFont="1" applyProtection="1">
      <protection locked="0"/>
    </xf>
    <xf numFmtId="164" fontId="6" fillId="0" borderId="20" xfId="0" applyNumberFormat="1" applyFont="1" applyBorder="1"/>
    <xf numFmtId="164" fontId="5" fillId="0" borderId="20" xfId="0" applyNumberFormat="1" applyFont="1" applyBorder="1"/>
    <xf numFmtId="164" fontId="5" fillId="0" borderId="15" xfId="0" applyNumberFormat="1" applyFont="1" applyBorder="1"/>
    <xf numFmtId="164" fontId="5" fillId="0" borderId="16" xfId="0" applyNumberFormat="1" applyFont="1" applyBorder="1"/>
    <xf numFmtId="164" fontId="5" fillId="0" borderId="15" xfId="0" applyNumberFormat="1" applyFont="1" applyBorder="1" applyAlignment="1">
      <alignment horizontal="right"/>
    </xf>
    <xf numFmtId="164" fontId="5" fillId="0" borderId="24" xfId="0" applyNumberFormat="1" applyFont="1" applyBorder="1"/>
    <xf numFmtId="164" fontId="2" fillId="3" borderId="14" xfId="2" applyNumberFormat="1" applyBorder="1" applyProtection="1">
      <protection locked="0"/>
    </xf>
    <xf numFmtId="164" fontId="2" fillId="3" borderId="15" xfId="2" applyNumberFormat="1" applyBorder="1" applyProtection="1">
      <protection locked="0"/>
    </xf>
    <xf numFmtId="164" fontId="2" fillId="3" borderId="26" xfId="2" applyNumberFormat="1" applyBorder="1" applyProtection="1">
      <protection locked="0"/>
    </xf>
    <xf numFmtId="164" fontId="7" fillId="8" borderId="19" xfId="1" applyNumberFormat="1" applyFont="1" applyFill="1" applyBorder="1" applyProtection="1">
      <protection locked="0"/>
    </xf>
    <xf numFmtId="164" fontId="5" fillId="8" borderId="19" xfId="0" applyNumberFormat="1" applyFont="1" applyFill="1" applyBorder="1" applyProtection="1">
      <protection locked="0"/>
    </xf>
    <xf numFmtId="164" fontId="5" fillId="8" borderId="0" xfId="0" applyNumberFormat="1" applyFont="1" applyFill="1" applyProtection="1">
      <protection locked="0"/>
    </xf>
    <xf numFmtId="164" fontId="5" fillId="8" borderId="11" xfId="0" applyNumberFormat="1" applyFont="1" applyFill="1" applyBorder="1" applyProtection="1">
      <protection locked="0"/>
    </xf>
    <xf numFmtId="164" fontId="5" fillId="9" borderId="0" xfId="0" applyNumberFormat="1" applyFont="1" applyFill="1" applyProtection="1">
      <protection locked="0"/>
    </xf>
    <xf numFmtId="164" fontId="5" fillId="9" borderId="23" xfId="0" applyNumberFormat="1" applyFont="1" applyFill="1" applyBorder="1" applyProtection="1">
      <protection locked="0"/>
    </xf>
    <xf numFmtId="164" fontId="2" fillId="3" borderId="10" xfId="2" applyNumberFormat="1" applyBorder="1" applyProtection="1">
      <protection locked="0"/>
    </xf>
    <xf numFmtId="164" fontId="2" fillId="3" borderId="0" xfId="2" applyNumberFormat="1" applyBorder="1" applyProtection="1">
      <protection locked="0"/>
    </xf>
    <xf numFmtId="164" fontId="2" fillId="3" borderId="27" xfId="2" applyNumberFormat="1" applyBorder="1" applyProtection="1">
      <protection locked="0"/>
    </xf>
    <xf numFmtId="164" fontId="7" fillId="8" borderId="19" xfId="1" quotePrefix="1" applyNumberFormat="1" applyFont="1" applyFill="1" applyBorder="1" applyProtection="1">
      <protection locked="0"/>
    </xf>
    <xf numFmtId="164" fontId="10" fillId="0" borderId="0" xfId="0" applyNumberFormat="1" applyFont="1"/>
    <xf numFmtId="164" fontId="11" fillId="8" borderId="19" xfId="1" quotePrefix="1" applyNumberFormat="1" applyFont="1" applyFill="1" applyBorder="1" applyProtection="1">
      <protection locked="0"/>
    </xf>
    <xf numFmtId="164" fontId="8" fillId="8" borderId="19" xfId="0" applyNumberFormat="1" applyFont="1" applyFill="1" applyBorder="1" applyProtection="1">
      <protection locked="0"/>
    </xf>
    <xf numFmtId="164" fontId="8" fillId="8" borderId="0" xfId="0" applyNumberFormat="1" applyFont="1" applyFill="1" applyProtection="1">
      <protection locked="0"/>
    </xf>
    <xf numFmtId="164" fontId="8" fillId="8" borderId="11" xfId="0" applyNumberFormat="1" applyFont="1" applyFill="1" applyBorder="1" applyProtection="1">
      <protection locked="0"/>
    </xf>
    <xf numFmtId="164" fontId="8" fillId="9" borderId="0" xfId="0" applyNumberFormat="1" applyFont="1" applyFill="1" applyProtection="1">
      <protection locked="0"/>
    </xf>
    <xf numFmtId="164" fontId="8" fillId="9" borderId="23" xfId="0" applyNumberFormat="1" applyFont="1" applyFill="1" applyBorder="1" applyProtection="1">
      <protection locked="0"/>
    </xf>
    <xf numFmtId="164" fontId="7" fillId="9" borderId="0" xfId="1" applyNumberFormat="1" applyFont="1" applyFill="1" applyBorder="1" applyProtection="1">
      <protection locked="0"/>
    </xf>
    <xf numFmtId="164" fontId="5" fillId="8" borderId="20" xfId="0" applyNumberFormat="1" applyFont="1" applyFill="1" applyBorder="1" applyProtection="1">
      <protection locked="0"/>
    </xf>
    <xf numFmtId="164" fontId="5" fillId="8" borderId="15" xfId="0" applyNumberFormat="1" applyFont="1" applyFill="1" applyBorder="1" applyProtection="1">
      <protection locked="0"/>
    </xf>
    <xf numFmtId="164" fontId="5" fillId="8" borderId="16" xfId="0" applyNumberFormat="1" applyFont="1" applyFill="1" applyBorder="1" applyProtection="1">
      <protection locked="0"/>
    </xf>
    <xf numFmtId="164" fontId="7" fillId="8" borderId="18" xfId="1" applyNumberFormat="1" applyFont="1" applyFill="1" applyBorder="1" applyProtection="1">
      <protection locked="0"/>
    </xf>
    <xf numFmtId="164" fontId="5" fillId="8" borderId="18" xfId="0" applyNumberFormat="1" applyFont="1" applyFill="1" applyBorder="1" applyProtection="1">
      <protection locked="0"/>
    </xf>
    <xf numFmtId="164" fontId="5" fillId="8" borderId="8" xfId="0" applyNumberFormat="1" applyFont="1" applyFill="1" applyBorder="1" applyProtection="1">
      <protection locked="0"/>
    </xf>
    <xf numFmtId="164" fontId="5" fillId="8" borderId="9" xfId="0" applyNumberFormat="1" applyFont="1" applyFill="1" applyBorder="1" applyProtection="1">
      <protection locked="0"/>
    </xf>
    <xf numFmtId="164" fontId="5" fillId="9" borderId="8" xfId="0" applyNumberFormat="1" applyFont="1" applyFill="1" applyBorder="1" applyProtection="1">
      <protection locked="0"/>
    </xf>
    <xf numFmtId="164" fontId="5" fillId="9" borderId="22" xfId="0" applyNumberFormat="1" applyFont="1" applyFill="1" applyBorder="1" applyProtection="1">
      <protection locked="0"/>
    </xf>
    <xf numFmtId="164" fontId="7" fillId="8" borderId="20" xfId="1" applyNumberFormat="1" applyFont="1" applyFill="1" applyBorder="1" applyProtection="1">
      <protection locked="0"/>
    </xf>
    <xf numFmtId="164" fontId="7" fillId="9" borderId="15" xfId="1" applyNumberFormat="1" applyFont="1" applyFill="1" applyBorder="1" applyProtection="1">
      <protection locked="0"/>
    </xf>
    <xf numFmtId="164" fontId="5" fillId="10" borderId="15" xfId="0" applyNumberFormat="1" applyFont="1" applyFill="1" applyBorder="1" applyProtection="1">
      <protection locked="0"/>
    </xf>
    <xf numFmtId="164" fontId="5" fillId="9" borderId="24" xfId="0" applyNumberFormat="1" applyFont="1" applyFill="1" applyBorder="1" applyProtection="1">
      <protection locked="0"/>
    </xf>
    <xf numFmtId="164" fontId="3" fillId="0" borderId="0" xfId="0" applyNumberFormat="1" applyFont="1" applyAlignment="1" applyProtection="1">
      <alignment horizontal="right"/>
      <protection locked="0"/>
    </xf>
    <xf numFmtId="164" fontId="0" fillId="0" borderId="3" xfId="0" applyNumberFormat="1" applyBorder="1" applyProtection="1">
      <protection locked="0"/>
    </xf>
    <xf numFmtId="164" fontId="0" fillId="0" borderId="0" xfId="0" applyNumberFormat="1" applyAlignment="1" applyProtection="1">
      <alignment horizontal="right"/>
      <protection locked="0"/>
    </xf>
    <xf numFmtId="164" fontId="0" fillId="0" borderId="10" xfId="0" applyNumberFormat="1" applyBorder="1" applyProtection="1">
      <protection locked="0"/>
    </xf>
    <xf numFmtId="164" fontId="0" fillId="0" borderId="13" xfId="0" applyNumberFormat="1" applyBorder="1" applyProtection="1">
      <protection locked="0"/>
    </xf>
    <xf numFmtId="164" fontId="0" fillId="0" borderId="12" xfId="0" applyNumberFormat="1" applyBorder="1" applyProtection="1">
      <protection locked="0"/>
    </xf>
    <xf numFmtId="164" fontId="0" fillId="0" borderId="0" xfId="0" applyNumberFormat="1" applyAlignment="1" applyProtection="1">
      <alignment horizontal="left"/>
      <protection locked="0"/>
    </xf>
    <xf numFmtId="164" fontId="11" fillId="4" borderId="0" xfId="1" applyNumberFormat="1" applyFont="1" applyFill="1" applyBorder="1" applyAlignment="1" applyProtection="1">
      <alignment horizontal="right"/>
      <protection locked="0"/>
    </xf>
    <xf numFmtId="0" fontId="3" fillId="7" borderId="0" xfId="0" applyFont="1" applyFill="1" applyAlignment="1">
      <alignment horizontal="left" vertical="center" wrapText="1"/>
    </xf>
    <xf numFmtId="0" fontId="0" fillId="14" borderId="0" xfId="0" applyFill="1" applyAlignment="1">
      <alignment horizontal="left" vertical="center" wrapText="1"/>
    </xf>
    <xf numFmtId="0" fontId="0" fillId="15" borderId="0" xfId="0" applyFill="1" applyAlignment="1">
      <alignment horizontal="left" vertical="center" wrapText="1"/>
    </xf>
    <xf numFmtId="0" fontId="0" fillId="16" borderId="0" xfId="0" applyFill="1" applyAlignment="1">
      <alignment horizontal="left" vertical="center" wrapText="1"/>
    </xf>
    <xf numFmtId="0" fontId="0" fillId="17" borderId="0" xfId="0" applyFill="1" applyAlignment="1">
      <alignment horizontal="left" vertical="center" wrapText="1"/>
    </xf>
    <xf numFmtId="0" fontId="0" fillId="18" borderId="0" xfId="0" applyFill="1" applyAlignment="1">
      <alignment horizontal="left" vertical="center" wrapText="1"/>
    </xf>
    <xf numFmtId="164" fontId="0" fillId="18" borderId="0" xfId="0" applyNumberFormat="1" applyFill="1" applyAlignment="1">
      <alignment horizontal="left" vertical="center" wrapText="1"/>
    </xf>
    <xf numFmtId="11" fontId="0" fillId="16" borderId="0" xfId="0" applyNumberFormat="1" applyFill="1" applyAlignment="1">
      <alignment horizontal="left" vertical="center" wrapText="1"/>
    </xf>
    <xf numFmtId="0" fontId="3" fillId="7" borderId="35" xfId="0" applyFont="1" applyFill="1" applyBorder="1" applyAlignment="1">
      <alignment horizontal="left" vertical="center" wrapText="1"/>
    </xf>
    <xf numFmtId="0" fontId="3" fillId="7" borderId="36" xfId="0" applyFont="1" applyFill="1" applyBorder="1" applyAlignment="1">
      <alignment horizontal="left" vertical="center" wrapText="1"/>
    </xf>
    <xf numFmtId="0" fontId="3" fillId="6" borderId="0" xfId="0" applyFont="1" applyFill="1" applyAlignment="1">
      <alignment horizontal="left" vertical="center" wrapText="1"/>
    </xf>
    <xf numFmtId="165" fontId="0" fillId="18" borderId="0" xfId="0" applyNumberFormat="1" applyFill="1" applyAlignment="1">
      <alignment horizontal="left" vertical="center" wrapText="1"/>
    </xf>
    <xf numFmtId="0" fontId="3" fillId="19" borderId="0" xfId="0" applyFont="1" applyFill="1" applyAlignment="1">
      <alignment horizontal="left" vertical="center" wrapText="1"/>
    </xf>
    <xf numFmtId="164" fontId="0" fillId="20" borderId="0" xfId="0" applyNumberFormat="1" applyFill="1" applyAlignment="1">
      <alignment horizontal="left" vertical="center" wrapText="1"/>
    </xf>
    <xf numFmtId="0" fontId="14" fillId="0" borderId="0" xfId="0" applyFont="1"/>
    <xf numFmtId="0" fontId="13" fillId="0" borderId="0" xfId="0" applyFont="1" applyAlignment="1">
      <alignment horizontal="center" vertical="center"/>
    </xf>
    <xf numFmtId="0" fontId="13" fillId="0" borderId="0" xfId="0" applyFont="1" applyAlignment="1">
      <alignment horizontal="center"/>
    </xf>
    <xf numFmtId="0" fontId="13" fillId="0" borderId="0" xfId="0" applyFont="1"/>
    <xf numFmtId="0" fontId="14" fillId="21" borderId="0" xfId="0" applyFont="1" applyFill="1"/>
    <xf numFmtId="166" fontId="14" fillId="0" borderId="0" xfId="0" applyNumberFormat="1" applyFont="1"/>
    <xf numFmtId="1" fontId="14" fillId="0" borderId="0" xfId="0" applyNumberFormat="1" applyFont="1"/>
    <xf numFmtId="11" fontId="14" fillId="0" borderId="0" xfId="0" applyNumberFormat="1" applyFont="1"/>
    <xf numFmtId="4" fontId="14" fillId="0" borderId="0" xfId="0" applyNumberFormat="1" applyFont="1"/>
    <xf numFmtId="0" fontId="14" fillId="0" borderId="0" xfId="0" applyFont="1" applyAlignment="1">
      <alignment wrapText="1"/>
    </xf>
    <xf numFmtId="0" fontId="15" fillId="0" borderId="0" xfId="3" applyBorder="1" applyAlignment="1">
      <alignment wrapText="1"/>
    </xf>
    <xf numFmtId="167" fontId="14" fillId="0" borderId="0" xfId="0" applyNumberFormat="1" applyFont="1"/>
    <xf numFmtId="168" fontId="14" fillId="0" borderId="0" xfId="0" applyNumberFormat="1" applyFont="1"/>
    <xf numFmtId="0" fontId="14" fillId="18" borderId="0" xfId="0" applyFont="1" applyFill="1"/>
    <xf numFmtId="0" fontId="14" fillId="18" borderId="0" xfId="0" applyFont="1" applyFill="1" applyAlignment="1">
      <alignment horizontal="right"/>
    </xf>
    <xf numFmtId="0" fontId="16" fillId="0" borderId="0" xfId="0" applyFont="1"/>
    <xf numFmtId="0" fontId="17" fillId="0" borderId="0" xfId="0" applyFont="1"/>
    <xf numFmtId="0" fontId="3" fillId="0" borderId="0" xfId="0" applyFont="1"/>
    <xf numFmtId="0" fontId="13" fillId="0" borderId="0" xfId="0" applyFont="1" applyAlignment="1">
      <alignment horizontal="center" vertical="center"/>
    </xf>
    <xf numFmtId="0" fontId="14" fillId="0" borderId="0" xfId="0" applyFont="1"/>
    <xf numFmtId="0" fontId="13" fillId="0" borderId="0" xfId="0" applyFont="1" applyAlignment="1">
      <alignment horizontal="center"/>
    </xf>
  </cellXfs>
  <cellStyles count="4">
    <cellStyle name="Hyperlink" xfId="3" builtinId="8"/>
    <cellStyle name="Input" xfId="1" builtinId="20"/>
    <cellStyle name="Normal" xfId="0" builtinId="0"/>
    <cellStyle name="Output 2" xfId="2" xr:uid="{D2E30622-5AA9-421D-B6B4-5F5961525AA3}"/>
  </cellStyles>
  <dxfs count="10">
    <dxf>
      <fill>
        <patternFill>
          <bgColor theme="9" tint="0.79998168889431442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79998168889431442"/>
        </patternFill>
      </fill>
    </dxf>
    <dxf>
      <fill>
        <patternFill patternType="solid">
          <fgColor rgb="FFF4C7C3"/>
          <bgColor rgb="FFF4C7C3"/>
        </patternFill>
      </fill>
    </dxf>
    <dxf>
      <fill>
        <patternFill patternType="solid">
          <fgColor rgb="FFFFF2CC"/>
          <bgColor rgb="FFFFF2CC"/>
        </patternFill>
      </fill>
    </dxf>
    <dxf>
      <fill>
        <patternFill patternType="solid">
          <fgColor rgb="FFB7E1CD"/>
          <bgColor rgb="FFB7E1CD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colors>
    <mruColors>
      <color rgb="FFEDBAB9"/>
      <color rgb="FFD3C3E3"/>
      <color rgb="FFE4C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eetMetadata" Target="metadata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316674</xdr:colOff>
      <xdr:row>113</xdr:row>
      <xdr:rowOff>12455</xdr:rowOff>
    </xdr:from>
    <xdr:to>
      <xdr:col>5</xdr:col>
      <xdr:colOff>129119</xdr:colOff>
      <xdr:row>129</xdr:row>
      <xdr:rowOff>73680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68125F91-3B15-49D4-9C86-922756D053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674" y="20776190"/>
          <a:ext cx="4321663" cy="3006707"/>
        </a:xfrm>
        <a:prstGeom prst="rect">
          <a:avLst/>
        </a:prstGeom>
      </xdr:spPr>
    </xdr:pic>
    <xdr:clientData/>
  </xdr:twoCellAnchor>
  <xdr:twoCellAnchor editAs="oneCell">
    <xdr:from>
      <xdr:col>12</xdr:col>
      <xdr:colOff>614840</xdr:colOff>
      <xdr:row>67</xdr:row>
      <xdr:rowOff>116417</xdr:rowOff>
    </xdr:from>
    <xdr:to>
      <xdr:col>15</xdr:col>
      <xdr:colOff>232491</xdr:colOff>
      <xdr:row>68</xdr:row>
      <xdr:rowOff>84667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718FAACD-4639-4A07-A456-B6B3A2739CD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8557632" y="12350750"/>
          <a:ext cx="2247187" cy="148166"/>
        </a:xfrm>
        <a:prstGeom prst="rect">
          <a:avLst/>
        </a:prstGeom>
        <a:ln w="28575">
          <a:solidFill>
            <a:schemeClr val="accent1"/>
          </a:solidFill>
        </a:ln>
      </xdr:spPr>
    </xdr:pic>
    <xdr:clientData/>
  </xdr:twoCellAnchor>
  <xdr:twoCellAnchor>
    <xdr:from>
      <xdr:col>0</xdr:col>
      <xdr:colOff>458787</xdr:colOff>
      <xdr:row>57</xdr:row>
      <xdr:rowOff>62392</xdr:rowOff>
    </xdr:from>
    <xdr:to>
      <xdr:col>6</xdr:col>
      <xdr:colOff>625245</xdr:colOff>
      <xdr:row>66</xdr:row>
      <xdr:rowOff>141767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A79358A0-BBC6-410D-A7FA-5ED688BD39C5}"/>
            </a:ext>
          </a:extLst>
        </xdr:cNvPr>
        <xdr:cNvGrpSpPr/>
      </xdr:nvGrpSpPr>
      <xdr:grpSpPr>
        <a:xfrm>
          <a:off x="458787" y="11149149"/>
          <a:ext cx="5749881" cy="1829915"/>
          <a:chOff x="167995" y="4512129"/>
          <a:chExt cx="7204634" cy="2345871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606966D6-54F8-42A3-8959-A403B35ACCF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67995" y="4512129"/>
            <a:ext cx="7204634" cy="2345871"/>
          </a:xfrm>
          <a:prstGeom prst="rect">
            <a:avLst/>
          </a:prstGeom>
        </xdr:spPr>
      </xdr:pic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AF6685C5-F568-4DCB-A8CE-B9CB848EF0D7}"/>
              </a:ext>
            </a:extLst>
          </xdr:cNvPr>
          <xdr:cNvSpPr/>
        </xdr:nvSpPr>
        <xdr:spPr>
          <a:xfrm>
            <a:off x="448347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885A1E00-D9CF-4FCE-84F6-899D4DA0974E}"/>
              </a:ext>
            </a:extLst>
          </xdr:cNvPr>
          <xdr:cNvSpPr/>
        </xdr:nvSpPr>
        <xdr:spPr>
          <a:xfrm>
            <a:off x="1171255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2A22AA8E-253E-4921-A519-DCFCF7D93023}"/>
              </a:ext>
            </a:extLst>
          </xdr:cNvPr>
          <xdr:cNvSpPr/>
        </xdr:nvSpPr>
        <xdr:spPr>
          <a:xfrm>
            <a:off x="1894163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E244026B-241F-4C2B-803E-B7634E9E7EA2}"/>
              </a:ext>
            </a:extLst>
          </xdr:cNvPr>
          <xdr:cNvSpPr/>
        </xdr:nvSpPr>
        <xdr:spPr>
          <a:xfrm>
            <a:off x="2617071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BC69474A-C358-490E-844C-1E78C9CA5FE6}"/>
              </a:ext>
            </a:extLst>
          </xdr:cNvPr>
          <xdr:cNvSpPr/>
        </xdr:nvSpPr>
        <xdr:spPr>
          <a:xfrm>
            <a:off x="3339979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D0E5F73D-8CF4-4B88-9CF3-B59E8B22FCD3}"/>
              </a:ext>
            </a:extLst>
          </xdr:cNvPr>
          <xdr:cNvSpPr/>
        </xdr:nvSpPr>
        <xdr:spPr>
          <a:xfrm>
            <a:off x="4062888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69F1D02A-28E5-46BA-8805-FAD1BCF977CF}"/>
              </a:ext>
            </a:extLst>
          </xdr:cNvPr>
          <xdr:cNvSpPr/>
        </xdr:nvSpPr>
        <xdr:spPr>
          <a:xfrm>
            <a:off x="370114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7043E049-3069-46B1-93AC-8E1F6162F2D4}"/>
              </a:ext>
            </a:extLst>
          </xdr:cNvPr>
          <xdr:cNvSpPr/>
        </xdr:nvSpPr>
        <xdr:spPr>
          <a:xfrm>
            <a:off x="1086150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73B203E5-68B8-4517-BF9C-AFB3F65E5288}"/>
              </a:ext>
            </a:extLst>
          </xdr:cNvPr>
          <xdr:cNvSpPr/>
        </xdr:nvSpPr>
        <xdr:spPr>
          <a:xfrm>
            <a:off x="1802186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8" name="Rectangle 17">
            <a:extLst>
              <a:ext uri="{FF2B5EF4-FFF2-40B4-BE49-F238E27FC236}">
                <a16:creationId xmlns:a16="http://schemas.microsoft.com/office/drawing/2014/main" id="{327AD94B-35F5-40E1-9C0E-695F71C2E60F}"/>
              </a:ext>
            </a:extLst>
          </xdr:cNvPr>
          <xdr:cNvSpPr/>
        </xdr:nvSpPr>
        <xdr:spPr>
          <a:xfrm>
            <a:off x="2518222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9" name="Rectangle 18">
            <a:extLst>
              <a:ext uri="{FF2B5EF4-FFF2-40B4-BE49-F238E27FC236}">
                <a16:creationId xmlns:a16="http://schemas.microsoft.com/office/drawing/2014/main" id="{260642B8-0EFD-487B-9F9D-6FC2DB8B1B7E}"/>
              </a:ext>
            </a:extLst>
          </xdr:cNvPr>
          <xdr:cNvSpPr/>
        </xdr:nvSpPr>
        <xdr:spPr>
          <a:xfrm>
            <a:off x="3234258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20" name="Rectangle 19">
            <a:extLst>
              <a:ext uri="{FF2B5EF4-FFF2-40B4-BE49-F238E27FC236}">
                <a16:creationId xmlns:a16="http://schemas.microsoft.com/office/drawing/2014/main" id="{9BFDA211-C9FF-4126-A97E-378070896CDB}"/>
              </a:ext>
            </a:extLst>
          </xdr:cNvPr>
          <xdr:cNvSpPr/>
        </xdr:nvSpPr>
        <xdr:spPr>
          <a:xfrm>
            <a:off x="3950293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316674</xdr:colOff>
      <xdr:row>113</xdr:row>
      <xdr:rowOff>12455</xdr:rowOff>
    </xdr:from>
    <xdr:to>
      <xdr:col>5</xdr:col>
      <xdr:colOff>129119</xdr:colOff>
      <xdr:row>129</xdr:row>
      <xdr:rowOff>73680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1C04F5E-58E4-43E9-BFFB-0199C2DEF25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316674" y="20834105"/>
          <a:ext cx="4327295" cy="3013975"/>
        </a:xfrm>
        <a:prstGeom prst="rect">
          <a:avLst/>
        </a:prstGeom>
      </xdr:spPr>
    </xdr:pic>
    <xdr:clientData/>
  </xdr:twoCellAnchor>
  <xdr:twoCellAnchor editAs="oneCell">
    <xdr:from>
      <xdr:col>12</xdr:col>
      <xdr:colOff>614840</xdr:colOff>
      <xdr:row>67</xdr:row>
      <xdr:rowOff>116417</xdr:rowOff>
    </xdr:from>
    <xdr:to>
      <xdr:col>15</xdr:col>
      <xdr:colOff>232491</xdr:colOff>
      <xdr:row>68</xdr:row>
      <xdr:rowOff>84667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AD090E9-7EEA-4975-9BC1-B2A851C8C8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1085990" y="12454467"/>
          <a:ext cx="2119551" cy="152400"/>
        </a:xfrm>
        <a:prstGeom prst="rect">
          <a:avLst/>
        </a:prstGeom>
        <a:ln w="28575">
          <a:solidFill>
            <a:schemeClr val="accent1"/>
          </a:solidFill>
        </a:ln>
      </xdr:spPr>
    </xdr:pic>
    <xdr:clientData/>
  </xdr:twoCellAnchor>
  <xdr:twoCellAnchor>
    <xdr:from>
      <xdr:col>0</xdr:col>
      <xdr:colOff>458787</xdr:colOff>
      <xdr:row>57</xdr:row>
      <xdr:rowOff>62392</xdr:rowOff>
    </xdr:from>
    <xdr:to>
      <xdr:col>6</xdr:col>
      <xdr:colOff>625245</xdr:colOff>
      <xdr:row>66</xdr:row>
      <xdr:rowOff>141767</xdr:rowOff>
    </xdr:to>
    <xdr:grpSp>
      <xdr:nvGrpSpPr>
        <xdr:cNvPr id="4" name="Group 3">
          <a:extLst>
            <a:ext uri="{FF2B5EF4-FFF2-40B4-BE49-F238E27FC236}">
              <a16:creationId xmlns:a16="http://schemas.microsoft.com/office/drawing/2014/main" id="{7293F84B-638A-454B-8171-D039910CEF5A}"/>
            </a:ext>
          </a:extLst>
        </xdr:cNvPr>
        <xdr:cNvGrpSpPr/>
      </xdr:nvGrpSpPr>
      <xdr:grpSpPr>
        <a:xfrm>
          <a:off x="458787" y="11078262"/>
          <a:ext cx="5743415" cy="1818722"/>
          <a:chOff x="167995" y="4512129"/>
          <a:chExt cx="7204634" cy="2345871"/>
        </a:xfrm>
      </xdr:grpSpPr>
      <xdr:pic>
        <xdr:nvPicPr>
          <xdr:cNvPr id="5" name="Picture 4">
            <a:extLst>
              <a:ext uri="{FF2B5EF4-FFF2-40B4-BE49-F238E27FC236}">
                <a16:creationId xmlns:a16="http://schemas.microsoft.com/office/drawing/2014/main" id="{8F441199-B8E5-3113-3532-38EE461B3AEB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/>
          <a:stretch>
            <a:fillRect/>
          </a:stretch>
        </xdr:blipFill>
        <xdr:spPr>
          <a:xfrm>
            <a:off x="167995" y="4512129"/>
            <a:ext cx="7204634" cy="2345871"/>
          </a:xfrm>
          <a:prstGeom prst="rect">
            <a:avLst/>
          </a:prstGeom>
        </xdr:spPr>
      </xdr:pic>
      <xdr:sp macro="" textlink="">
        <xdr:nvSpPr>
          <xdr:cNvPr id="6" name="Rectangle 5">
            <a:extLst>
              <a:ext uri="{FF2B5EF4-FFF2-40B4-BE49-F238E27FC236}">
                <a16:creationId xmlns:a16="http://schemas.microsoft.com/office/drawing/2014/main" id="{2F68EE5D-EDA8-C20D-E9A5-BC99CCD03F3C}"/>
              </a:ext>
            </a:extLst>
          </xdr:cNvPr>
          <xdr:cNvSpPr/>
        </xdr:nvSpPr>
        <xdr:spPr>
          <a:xfrm>
            <a:off x="448347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7" name="Rectangle 6">
            <a:extLst>
              <a:ext uri="{FF2B5EF4-FFF2-40B4-BE49-F238E27FC236}">
                <a16:creationId xmlns:a16="http://schemas.microsoft.com/office/drawing/2014/main" id="{E0D88E8A-EDA4-C889-42E3-345E12C12A59}"/>
              </a:ext>
            </a:extLst>
          </xdr:cNvPr>
          <xdr:cNvSpPr/>
        </xdr:nvSpPr>
        <xdr:spPr>
          <a:xfrm>
            <a:off x="1171255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8" name="Rectangle 7">
            <a:extLst>
              <a:ext uri="{FF2B5EF4-FFF2-40B4-BE49-F238E27FC236}">
                <a16:creationId xmlns:a16="http://schemas.microsoft.com/office/drawing/2014/main" id="{4C53AC80-983E-4873-B33E-90688700325D}"/>
              </a:ext>
            </a:extLst>
          </xdr:cNvPr>
          <xdr:cNvSpPr/>
        </xdr:nvSpPr>
        <xdr:spPr>
          <a:xfrm>
            <a:off x="1894163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9" name="Rectangle 8">
            <a:extLst>
              <a:ext uri="{FF2B5EF4-FFF2-40B4-BE49-F238E27FC236}">
                <a16:creationId xmlns:a16="http://schemas.microsoft.com/office/drawing/2014/main" id="{7848C9C8-7335-7CA7-3490-E03317F997A2}"/>
              </a:ext>
            </a:extLst>
          </xdr:cNvPr>
          <xdr:cNvSpPr/>
        </xdr:nvSpPr>
        <xdr:spPr>
          <a:xfrm>
            <a:off x="2617071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0" name="Rectangle 9">
            <a:extLst>
              <a:ext uri="{FF2B5EF4-FFF2-40B4-BE49-F238E27FC236}">
                <a16:creationId xmlns:a16="http://schemas.microsoft.com/office/drawing/2014/main" id="{B952A750-DAD1-FF89-4769-8D27D1CDF47E}"/>
              </a:ext>
            </a:extLst>
          </xdr:cNvPr>
          <xdr:cNvSpPr/>
        </xdr:nvSpPr>
        <xdr:spPr>
          <a:xfrm>
            <a:off x="3339979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1" name="Rectangle 10">
            <a:extLst>
              <a:ext uri="{FF2B5EF4-FFF2-40B4-BE49-F238E27FC236}">
                <a16:creationId xmlns:a16="http://schemas.microsoft.com/office/drawing/2014/main" id="{FE9B6B10-8D88-833D-2B8D-A9CFB7889251}"/>
              </a:ext>
            </a:extLst>
          </xdr:cNvPr>
          <xdr:cNvSpPr/>
        </xdr:nvSpPr>
        <xdr:spPr>
          <a:xfrm>
            <a:off x="4062888" y="4624717"/>
            <a:ext cx="433396" cy="980002"/>
          </a:xfrm>
          <a:prstGeom prst="rect">
            <a:avLst/>
          </a:prstGeom>
          <a:solidFill>
            <a:schemeClr val="accent5">
              <a:lumMod val="40000"/>
              <a:lumOff val="60000"/>
              <a:alpha val="30000"/>
            </a:schemeClr>
          </a:solidFill>
          <a:ln>
            <a:solidFill>
              <a:srgbClr val="FF000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21E6ADAC-CD83-43DB-2D61-AAD95F8EDA80}"/>
              </a:ext>
            </a:extLst>
          </xdr:cNvPr>
          <xdr:cNvSpPr/>
        </xdr:nvSpPr>
        <xdr:spPr>
          <a:xfrm>
            <a:off x="370114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766B80F5-AE85-0396-8B12-365C8406057E}"/>
              </a:ext>
            </a:extLst>
          </xdr:cNvPr>
          <xdr:cNvSpPr/>
        </xdr:nvSpPr>
        <xdr:spPr>
          <a:xfrm>
            <a:off x="1086150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59914999-76F8-DDA2-B531-9E333AD3B84B}"/>
              </a:ext>
            </a:extLst>
          </xdr:cNvPr>
          <xdr:cNvSpPr/>
        </xdr:nvSpPr>
        <xdr:spPr>
          <a:xfrm>
            <a:off x="1802186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3E537297-1EA6-FAC1-5F92-BCEE59311A0A}"/>
              </a:ext>
            </a:extLst>
          </xdr:cNvPr>
          <xdr:cNvSpPr/>
        </xdr:nvSpPr>
        <xdr:spPr>
          <a:xfrm>
            <a:off x="2518222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6" name="Rectangle 15">
            <a:extLst>
              <a:ext uri="{FF2B5EF4-FFF2-40B4-BE49-F238E27FC236}">
                <a16:creationId xmlns:a16="http://schemas.microsoft.com/office/drawing/2014/main" id="{A87956D9-7045-9240-9D75-9712836F5DF7}"/>
              </a:ext>
            </a:extLst>
          </xdr:cNvPr>
          <xdr:cNvSpPr/>
        </xdr:nvSpPr>
        <xdr:spPr>
          <a:xfrm>
            <a:off x="3234258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  <xdr:sp macro="" textlink="">
        <xdr:nvSpPr>
          <xdr:cNvPr id="17" name="Rectangle 16">
            <a:extLst>
              <a:ext uri="{FF2B5EF4-FFF2-40B4-BE49-F238E27FC236}">
                <a16:creationId xmlns:a16="http://schemas.microsoft.com/office/drawing/2014/main" id="{3326BCD8-7B7F-3DCA-06AD-F166582A0107}"/>
              </a:ext>
            </a:extLst>
          </xdr:cNvPr>
          <xdr:cNvSpPr/>
        </xdr:nvSpPr>
        <xdr:spPr>
          <a:xfrm>
            <a:off x="3950293" y="5634715"/>
            <a:ext cx="658586" cy="987076"/>
          </a:xfrm>
          <a:prstGeom prst="rect">
            <a:avLst/>
          </a:prstGeom>
          <a:solidFill>
            <a:srgbClr val="8F8FE5">
              <a:alpha val="30000"/>
            </a:srgbClr>
          </a:solidFill>
          <a:ln>
            <a:solidFill>
              <a:srgbClr val="00206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ctr"/>
          <a:lstStyle>
            <a:defPPr>
              <a:defRPr lang="en-US"/>
            </a:defPPr>
            <a:lvl1pPr marL="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algn="l" defTabSz="457200" rtl="0" eaLnBrk="1" latinLnBrk="0" hangingPunct="1">
              <a:defRPr sz="1800" kern="12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pPr algn="ctr"/>
            <a:endParaRPr lang="en-CA"/>
          </a:p>
        </xdr:txBody>
      </xdr:sp>
    </xdr:grp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97030C-6E70-4C70-A8FF-34180A512EDF}">
  <sheetPr codeName="Sheet1"/>
  <dimension ref="A2:Z124"/>
  <sheetViews>
    <sheetView topLeftCell="K81" zoomScale="111" zoomScaleNormal="78" workbookViewId="0">
      <selection activeCell="T107" sqref="T107"/>
    </sheetView>
  </sheetViews>
  <sheetFormatPr baseColWidth="10" defaultColWidth="8.6640625" defaultRowHeight="15" x14ac:dyDescent="0.2"/>
  <cols>
    <col min="1" max="1" width="7.33203125" style="5" customWidth="1"/>
    <col min="2" max="2" width="14.33203125" style="5" customWidth="1"/>
    <col min="3" max="3" width="13" style="5" customWidth="1"/>
    <col min="4" max="4" width="16.6640625" style="5" customWidth="1"/>
    <col min="5" max="5" width="13.1640625" style="5" customWidth="1"/>
    <col min="6" max="6" width="8.6640625" style="5"/>
    <col min="7" max="7" width="9.1640625" style="5" customWidth="1"/>
    <col min="8" max="8" width="12.83203125" style="5" customWidth="1"/>
    <col min="9" max="9" width="14.83203125" style="5" customWidth="1"/>
    <col min="10" max="10" width="9.83203125" style="5" bestFit="1" customWidth="1"/>
    <col min="11" max="11" width="13.33203125" style="5" customWidth="1"/>
    <col min="12" max="12" width="16.6640625" style="5" customWidth="1"/>
    <col min="13" max="13" width="11.6640625" style="5" customWidth="1"/>
    <col min="14" max="14" width="13.1640625" style="5" customWidth="1"/>
    <col min="15" max="15" width="11" style="5" customWidth="1"/>
    <col min="16" max="16" width="10.83203125" style="5" customWidth="1"/>
    <col min="17" max="18" width="8.6640625" style="5"/>
    <col min="19" max="19" width="17.1640625" style="5" customWidth="1"/>
    <col min="20" max="20" width="14.5" style="5" customWidth="1"/>
    <col min="21" max="21" width="15" style="5" customWidth="1"/>
    <col min="22" max="22" width="13.83203125" style="5" customWidth="1"/>
    <col min="23" max="23" width="15.5" style="5" customWidth="1"/>
    <col min="24" max="24" width="11.6640625" style="5" customWidth="1"/>
    <col min="25" max="25" width="8.83203125" style="5" bestFit="1" customWidth="1"/>
    <col min="26" max="16384" width="8.6640625" style="5"/>
  </cols>
  <sheetData>
    <row r="2" spans="2:13" x14ac:dyDescent="0.2">
      <c r="B2" s="7"/>
      <c r="C2" s="8" t="s">
        <v>101</v>
      </c>
      <c r="D2" s="9"/>
      <c r="E2" s="10"/>
      <c r="G2" s="8" t="s">
        <v>102</v>
      </c>
      <c r="H2" s="9"/>
      <c r="I2" s="10"/>
      <c r="K2" s="8" t="s">
        <v>103</v>
      </c>
      <c r="L2" s="9"/>
      <c r="M2" s="10"/>
    </row>
    <row r="3" spans="2:13" x14ac:dyDescent="0.2">
      <c r="B3" s="7"/>
      <c r="C3" s="11" t="s">
        <v>0</v>
      </c>
      <c r="D3" s="9"/>
      <c r="E3" s="10"/>
      <c r="G3" s="11" t="s">
        <v>0</v>
      </c>
      <c r="H3" s="9"/>
      <c r="I3" s="10"/>
      <c r="K3" s="11" t="s">
        <v>0</v>
      </c>
      <c r="L3" s="9"/>
      <c r="M3" s="10"/>
    </row>
    <row r="4" spans="2:13" x14ac:dyDescent="0.2">
      <c r="B4" s="12"/>
      <c r="C4" s="13" t="s">
        <v>1</v>
      </c>
      <c r="D4" s="14" t="s">
        <v>2</v>
      </c>
      <c r="E4" s="15" t="s">
        <v>3</v>
      </c>
      <c r="G4" s="13" t="s">
        <v>1</v>
      </c>
      <c r="H4" s="14" t="s">
        <v>2</v>
      </c>
      <c r="I4" s="15" t="s">
        <v>3</v>
      </c>
      <c r="K4" s="13" t="s">
        <v>1</v>
      </c>
      <c r="L4" s="14" t="s">
        <v>2</v>
      </c>
      <c r="M4" s="15" t="s">
        <v>3</v>
      </c>
    </row>
    <row r="5" spans="2:13" x14ac:dyDescent="0.2">
      <c r="B5" s="7" t="s">
        <v>9</v>
      </c>
      <c r="C5" s="16" cm="1">
        <f t="array" ref="C5:D9">G5:H9*25.4</f>
        <v>1654.81</v>
      </c>
      <c r="D5" s="16">
        <v>254</v>
      </c>
      <c r="E5" s="16" cm="1">
        <f t="array" ref="E5:E9">I5:I9*25.4*-1</f>
        <v>269.97659999999996</v>
      </c>
      <c r="F5" s="5" t="s">
        <v>104</v>
      </c>
      <c r="G5" s="16">
        <f>4.15+61</f>
        <v>65.150000000000006</v>
      </c>
      <c r="H5" s="16">
        <v>10</v>
      </c>
      <c r="I5" s="16">
        <v>-10.629</v>
      </c>
      <c r="K5" s="16">
        <v>114.3</v>
      </c>
      <c r="L5" s="16">
        <v>256.54000000000002</v>
      </c>
      <c r="M5" s="16">
        <v>280</v>
      </c>
    </row>
    <row r="6" spans="2:13" x14ac:dyDescent="0.2">
      <c r="B6" s="7" t="s">
        <v>10</v>
      </c>
      <c r="C6" s="16">
        <v>1508.76</v>
      </c>
      <c r="D6" s="16">
        <v>254</v>
      </c>
      <c r="E6" s="16">
        <v>265.93799999999999</v>
      </c>
      <c r="G6" s="16">
        <f>-1.6+61</f>
        <v>59.4</v>
      </c>
      <c r="H6" s="16">
        <v>10</v>
      </c>
      <c r="I6" s="16">
        <v>-10.47</v>
      </c>
      <c r="K6" s="16">
        <v>-100.33</v>
      </c>
      <c r="L6" s="16">
        <v>256.54000000000002</v>
      </c>
      <c r="M6" s="16">
        <v>280</v>
      </c>
    </row>
    <row r="7" spans="2:13" x14ac:dyDescent="0.2">
      <c r="B7" s="7" t="s">
        <v>11</v>
      </c>
      <c r="C7" s="16">
        <v>1663.6999999999998</v>
      </c>
      <c r="D7" s="16">
        <v>186.68999999999997</v>
      </c>
      <c r="E7" s="16">
        <v>145.03399999999999</v>
      </c>
      <c r="G7" s="16">
        <f>4.5+61</f>
        <v>65.5</v>
      </c>
      <c r="H7" s="16">
        <v>7.35</v>
      </c>
      <c r="I7" s="16">
        <v>-5.71</v>
      </c>
      <c r="K7" s="16">
        <v>105.41</v>
      </c>
      <c r="L7" s="16">
        <v>168.91</v>
      </c>
      <c r="M7" s="16">
        <v>125</v>
      </c>
    </row>
    <row r="8" spans="2:13" x14ac:dyDescent="0.2">
      <c r="B8" s="7" t="s">
        <v>12</v>
      </c>
      <c r="C8" s="16">
        <v>1452.8799999999999</v>
      </c>
      <c r="D8" s="16">
        <v>186.68999999999997</v>
      </c>
      <c r="E8" s="16">
        <v>147.95499999999998</v>
      </c>
      <c r="G8" s="16">
        <f>-3.8+61</f>
        <v>57.2</v>
      </c>
      <c r="H8" s="16">
        <v>7.35</v>
      </c>
      <c r="I8" s="16">
        <v>-5.8250000000000002</v>
      </c>
      <c r="K8" s="16">
        <v>-66.06</v>
      </c>
      <c r="L8" s="16">
        <v>168.91</v>
      </c>
      <c r="M8" s="16">
        <v>125</v>
      </c>
    </row>
    <row r="9" spans="2:13" x14ac:dyDescent="0.2">
      <c r="B9" s="7" t="s">
        <v>13</v>
      </c>
      <c r="C9" s="16">
        <v>1727.4666999999997</v>
      </c>
      <c r="D9" s="16">
        <v>220.65487999999999</v>
      </c>
      <c r="E9" s="16">
        <v>186.05246</v>
      </c>
      <c r="G9" s="16">
        <v>68.010499999999993</v>
      </c>
      <c r="H9" s="16">
        <v>8.6872000000000007</v>
      </c>
      <c r="I9" s="16">
        <v>-7.3249000000000004</v>
      </c>
      <c r="K9" s="16">
        <v>-75.641000000000005</v>
      </c>
      <c r="L9" s="16">
        <v>165.1</v>
      </c>
      <c r="M9" s="16">
        <v>111.379</v>
      </c>
    </row>
    <row r="10" spans="2:13" x14ac:dyDescent="0.2">
      <c r="B10" s="7" t="s">
        <v>14</v>
      </c>
      <c r="C10" s="16">
        <f>60+61*25.4</f>
        <v>1609.3999999999999</v>
      </c>
      <c r="D10" s="16">
        <v>135.88999999999999</v>
      </c>
      <c r="E10" s="16">
        <v>175</v>
      </c>
      <c r="G10" s="16"/>
      <c r="H10" s="16"/>
      <c r="I10" s="16"/>
      <c r="K10" s="16">
        <v>60</v>
      </c>
      <c r="L10" s="16">
        <v>135.88999999999999</v>
      </c>
      <c r="M10" s="16">
        <v>175</v>
      </c>
    </row>
    <row r="11" spans="2:13" x14ac:dyDescent="0.2">
      <c r="B11" s="7"/>
      <c r="C11" s="17" t="s">
        <v>4</v>
      </c>
      <c r="D11" s="17"/>
      <c r="E11" s="17"/>
      <c r="G11" s="17" t="s">
        <v>4</v>
      </c>
      <c r="H11" s="17"/>
      <c r="I11" s="17"/>
      <c r="K11" s="17" t="s">
        <v>4</v>
      </c>
      <c r="L11" s="17"/>
      <c r="M11" s="17"/>
    </row>
    <row r="12" spans="2:13" x14ac:dyDescent="0.2">
      <c r="B12" s="7" t="s">
        <v>9</v>
      </c>
      <c r="C12" s="16" cm="1">
        <f t="array" ref="C12:D16">G12:H16*25.4</f>
        <v>1531.62</v>
      </c>
      <c r="D12" s="16">
        <v>615.49991199999999</v>
      </c>
      <c r="E12" s="16" cm="1">
        <f t="array" ref="E12:E16">I12:I16*25.4*-1</f>
        <v>273.30399999999997</v>
      </c>
      <c r="G12" s="16">
        <f>-0.7+61</f>
        <v>60.3</v>
      </c>
      <c r="H12" s="16">
        <v>24.232279999999999</v>
      </c>
      <c r="I12" s="16">
        <v>-10.76</v>
      </c>
      <c r="K12" s="16">
        <v>-6.0709999999999997</v>
      </c>
      <c r="L12" s="16">
        <v>564.36300000000006</v>
      </c>
      <c r="M12" s="16">
        <v>300</v>
      </c>
    </row>
    <row r="13" spans="2:13" x14ac:dyDescent="0.2">
      <c r="B13" s="7" t="s">
        <v>10</v>
      </c>
      <c r="C13" s="16">
        <v>1531.62</v>
      </c>
      <c r="D13" s="16">
        <v>615.49991199999999</v>
      </c>
      <c r="E13" s="16">
        <v>273.30399999999997</v>
      </c>
      <c r="G13" s="16">
        <f>-0.7+61</f>
        <v>60.3</v>
      </c>
      <c r="H13" s="16">
        <v>24.232279999999999</v>
      </c>
      <c r="I13" s="16">
        <v>-10.76</v>
      </c>
      <c r="K13" s="16">
        <v>-6.0709999999999997</v>
      </c>
      <c r="L13" s="16">
        <v>564.36300000000006</v>
      </c>
      <c r="M13" s="16">
        <v>300</v>
      </c>
    </row>
    <row r="14" spans="2:13" x14ac:dyDescent="0.2">
      <c r="B14" s="7" t="s">
        <v>11</v>
      </c>
      <c r="C14" s="16">
        <v>1543.1515999999999</v>
      </c>
      <c r="D14" s="16">
        <v>626.1099999999999</v>
      </c>
      <c r="E14" s="16">
        <v>149.86000000000001</v>
      </c>
      <c r="G14" s="16">
        <f>-0.246+61</f>
        <v>60.753999999999998</v>
      </c>
      <c r="H14" s="16">
        <v>24.65</v>
      </c>
      <c r="I14" s="16">
        <v>-5.9</v>
      </c>
      <c r="K14" s="16">
        <v>4.4960000000000004</v>
      </c>
      <c r="L14" s="16">
        <v>577.596</v>
      </c>
      <c r="M14" s="16">
        <v>125</v>
      </c>
    </row>
    <row r="15" spans="2:13" x14ac:dyDescent="0.2">
      <c r="B15" s="7" t="s">
        <v>12</v>
      </c>
      <c r="C15" s="16">
        <v>1543.1515999999999</v>
      </c>
      <c r="D15" s="16">
        <v>626.1099999999999</v>
      </c>
      <c r="E15" s="16">
        <v>149.86000000000001</v>
      </c>
      <c r="G15" s="16">
        <f>-0.246+61</f>
        <v>60.753999999999998</v>
      </c>
      <c r="H15" s="16">
        <v>24.65</v>
      </c>
      <c r="I15" s="16">
        <v>-5.9</v>
      </c>
      <c r="K15" s="16">
        <v>4.4960000000000004</v>
      </c>
      <c r="L15" s="16">
        <v>577.596</v>
      </c>
      <c r="M15" s="16">
        <v>125</v>
      </c>
    </row>
    <row r="16" spans="2:13" x14ac:dyDescent="0.2">
      <c r="B16" s="7" t="s">
        <v>13</v>
      </c>
      <c r="C16" s="16">
        <v>1531.62</v>
      </c>
      <c r="D16" s="16">
        <v>615.50041999999996</v>
      </c>
      <c r="E16" s="16">
        <v>273.30399999999997</v>
      </c>
      <c r="G16" s="16">
        <v>60.3</v>
      </c>
      <c r="H16" s="16">
        <v>24.232299999999999</v>
      </c>
      <c r="I16" s="16">
        <v>-10.76</v>
      </c>
      <c r="K16" s="16">
        <v>-6.0960000000000001</v>
      </c>
      <c r="L16" s="16">
        <v>564.36300000000006</v>
      </c>
      <c r="M16" s="16">
        <v>322.58</v>
      </c>
    </row>
    <row r="17" spans="2:13" x14ac:dyDescent="0.2">
      <c r="B17" s="7" t="s">
        <v>14</v>
      </c>
      <c r="C17" s="16">
        <f>90+61*25.4</f>
        <v>1639.3999999999999</v>
      </c>
      <c r="D17" s="16">
        <v>561.79700000000003</v>
      </c>
      <c r="E17" s="16">
        <v>180</v>
      </c>
      <c r="G17" s="16"/>
      <c r="H17" s="16"/>
      <c r="I17" s="16"/>
      <c r="K17" s="16">
        <v>90</v>
      </c>
      <c r="L17" s="16">
        <v>561.79700000000003</v>
      </c>
      <c r="M17" s="16">
        <v>180</v>
      </c>
    </row>
    <row r="18" spans="2:13" x14ac:dyDescent="0.2">
      <c r="B18" s="7"/>
      <c r="C18" s="5" t="s">
        <v>82</v>
      </c>
      <c r="D18" s="17"/>
      <c r="E18" s="17"/>
    </row>
    <row r="19" spans="2:13" x14ac:dyDescent="0.2">
      <c r="B19" s="7" t="s">
        <v>5</v>
      </c>
      <c r="C19" s="16">
        <f>61*25.4</f>
        <v>1549.3999999999999</v>
      </c>
      <c r="D19" s="16">
        <v>609.6</v>
      </c>
      <c r="E19" s="16">
        <v>0</v>
      </c>
    </row>
    <row r="20" spans="2:13" x14ac:dyDescent="0.2">
      <c r="B20" s="7" t="s">
        <v>6</v>
      </c>
      <c r="C20" s="16">
        <f t="shared" ref="C20:C21" si="0">61*25.4</f>
        <v>1549.3999999999999</v>
      </c>
      <c r="D20" s="16">
        <v>609.6</v>
      </c>
      <c r="E20" s="16">
        <v>0</v>
      </c>
    </row>
    <row r="21" spans="2:13" x14ac:dyDescent="0.2">
      <c r="B21" s="7" t="s">
        <v>7</v>
      </c>
      <c r="C21" s="16">
        <f t="shared" si="0"/>
        <v>1549.3999999999999</v>
      </c>
      <c r="D21" s="16">
        <v>609.6</v>
      </c>
      <c r="E21" s="16">
        <v>0</v>
      </c>
      <c r="K21"/>
      <c r="L21"/>
      <c r="M21"/>
    </row>
    <row r="22" spans="2:13" x14ac:dyDescent="0.2">
      <c r="K22"/>
      <c r="L22"/>
      <c r="M22"/>
    </row>
    <row r="23" spans="2:13" x14ac:dyDescent="0.2">
      <c r="C23" s="18" t="s">
        <v>23</v>
      </c>
      <c r="D23" s="19"/>
      <c r="E23" s="20"/>
      <c r="K23"/>
      <c r="L23"/>
      <c r="M23"/>
    </row>
    <row r="24" spans="2:13" x14ac:dyDescent="0.2">
      <c r="C24" s="21" t="s">
        <v>21</v>
      </c>
      <c r="D24" s="22"/>
      <c r="E24" s="23"/>
      <c r="K24"/>
      <c r="L24"/>
      <c r="M24"/>
    </row>
    <row r="25" spans="2:13" x14ac:dyDescent="0.2">
      <c r="B25" s="7" t="s">
        <v>9</v>
      </c>
      <c r="C25" s="24">
        <f t="array" ref="C25:E25">unit_vector(C12:E12-C5:E5)</f>
        <v>-0.32254766454880285</v>
      </c>
      <c r="D25" s="24">
        <v>0.94651312890817185</v>
      </c>
      <c r="E25" s="24">
        <v>8.7121121764728443E-3</v>
      </c>
      <c r="G25" s="5">
        <f>(C5-C12)/C25</f>
        <v>-381.92804828497179</v>
      </c>
      <c r="H25" s="5">
        <f t="shared" ref="H25:I25" si="1">(D5-D12)/D25</f>
        <v>-381.92804828497179</v>
      </c>
      <c r="I25" s="5">
        <f t="shared" si="1"/>
        <v>-381.92804828497185</v>
      </c>
      <c r="K25"/>
      <c r="L25"/>
      <c r="M25"/>
    </row>
    <row r="26" spans="2:13" x14ac:dyDescent="0.2">
      <c r="B26" s="7" t="s">
        <v>10</v>
      </c>
      <c r="C26" s="24">
        <f t="array" ref="C26:E26">unit_vector(C13:E13-C6:E6)</f>
        <v>6.3097425690673128E-2</v>
      </c>
      <c r="D26" s="24">
        <v>0.99780025523206373</v>
      </c>
      <c r="E26" s="24">
        <v>2.033139272255028E-2</v>
      </c>
      <c r="G26" s="5">
        <f>(C6-C13)/C26</f>
        <v>-362.29687265005168</v>
      </c>
      <c r="H26" s="5">
        <f t="shared" ref="H26:H29" si="2">(D6-D13)/D26</f>
        <v>-362.29687265005163</v>
      </c>
      <c r="I26" s="5">
        <f t="shared" ref="I26:I29" si="3">(E6-E13)/E26</f>
        <v>-362.29687265005163</v>
      </c>
      <c r="K26"/>
      <c r="L26"/>
      <c r="M26"/>
    </row>
    <row r="27" spans="2:13" x14ac:dyDescent="0.2">
      <c r="B27" s="7" t="s">
        <v>11</v>
      </c>
      <c r="C27" s="24">
        <f t="array" ref="C27:E27">unit_vector(C14:E14-C7:E7)</f>
        <v>-0.26454561153011036</v>
      </c>
      <c r="D27" s="24">
        <v>0.96431501885185689</v>
      </c>
      <c r="E27" s="24">
        <v>1.0590742981610038E-2</v>
      </c>
      <c r="G27" s="5">
        <f t="shared" ref="G27:G29" si="4">(C7-C14)/C27</f>
        <v>-455.68096670648868</v>
      </c>
      <c r="H27" s="5">
        <f t="shared" si="2"/>
        <v>-455.68096670648862</v>
      </c>
      <c r="I27" s="5">
        <f t="shared" si="3"/>
        <v>-455.68096670648862</v>
      </c>
      <c r="K27"/>
      <c r="L27"/>
      <c r="M27"/>
    </row>
    <row r="28" spans="2:13" x14ac:dyDescent="0.2">
      <c r="B28" s="7" t="s">
        <v>12</v>
      </c>
      <c r="C28" s="24">
        <f t="array" ref="C28:E28">unit_vector(C15:E15-C8:E8)</f>
        <v>0.20122931963221968</v>
      </c>
      <c r="D28" s="24">
        <v>0.97953495487827769</v>
      </c>
      <c r="E28" s="24">
        <v>4.2465388217267034E-3</v>
      </c>
      <c r="G28" s="5">
        <f t="shared" si="4"/>
        <v>-448.60063217918002</v>
      </c>
      <c r="H28" s="5">
        <f t="shared" si="2"/>
        <v>-448.60063217918002</v>
      </c>
      <c r="I28" s="5">
        <f t="shared" si="3"/>
        <v>-448.60063217918008</v>
      </c>
      <c r="K28"/>
      <c r="L28"/>
      <c r="M28"/>
    </row>
    <row r="29" spans="2:13" x14ac:dyDescent="0.2">
      <c r="B29" s="7" t="s">
        <v>13</v>
      </c>
      <c r="C29" s="24">
        <f t="array" ref="C29:E29">unit_vector(C16:E16-C9:E9)</f>
        <v>-0.43589157173246662</v>
      </c>
      <c r="D29" s="24">
        <v>0.87879879018719564</v>
      </c>
      <c r="E29" s="24">
        <v>0.19419377965867285</v>
      </c>
      <c r="G29" s="5">
        <f t="shared" si="4"/>
        <v>-449.30141507806661</v>
      </c>
      <c r="H29" s="5">
        <f t="shared" si="2"/>
        <v>-449.30141507806661</v>
      </c>
      <c r="I29" s="5">
        <f t="shared" si="3"/>
        <v>-449.30141507806661</v>
      </c>
      <c r="K29"/>
      <c r="L29"/>
      <c r="M29"/>
    </row>
    <row r="30" spans="2:13" x14ac:dyDescent="0.2">
      <c r="B30" s="7" t="s">
        <v>14</v>
      </c>
      <c r="C30" s="24">
        <f t="array" ref="C30:E30">unit_vector(C17:E17-C10:E10)</f>
        <v>7.0259003755609908E-2</v>
      </c>
      <c r="D30" s="24">
        <v>0.99746005041801833</v>
      </c>
      <c r="E30" s="24">
        <v>1.1709833959268317E-2</v>
      </c>
      <c r="K30"/>
      <c r="L30"/>
      <c r="M30"/>
    </row>
    <row r="31" spans="2:13" x14ac:dyDescent="0.2">
      <c r="K31"/>
      <c r="L31"/>
      <c r="M31"/>
    </row>
    <row r="32" spans="2:13" x14ac:dyDescent="0.2">
      <c r="C32" s="26" t="s">
        <v>22</v>
      </c>
      <c r="D32" s="27"/>
      <c r="E32" s="27"/>
      <c r="K32"/>
      <c r="L32"/>
      <c r="M32"/>
    </row>
    <row r="33" spans="2:13" x14ac:dyDescent="0.2">
      <c r="B33" s="7" t="s">
        <v>8</v>
      </c>
      <c r="C33" s="28">
        <f>61*25.4</f>
        <v>1549.3999999999999</v>
      </c>
      <c r="D33" s="29">
        <v>0</v>
      </c>
      <c r="E33" s="30">
        <v>0</v>
      </c>
      <c r="K33"/>
      <c r="L33"/>
      <c r="M33"/>
    </row>
    <row r="34" spans="2:13" x14ac:dyDescent="0.2">
      <c r="B34" s="7"/>
      <c r="K34"/>
      <c r="L34"/>
      <c r="M34"/>
    </row>
    <row r="35" spans="2:13" x14ac:dyDescent="0.2">
      <c r="B35" s="7" t="s">
        <v>9</v>
      </c>
      <c r="C35" s="31">
        <f>C5-$C$33</f>
        <v>105.41000000000008</v>
      </c>
      <c r="D35" s="31">
        <f>D5-$D$33</f>
        <v>254</v>
      </c>
      <c r="E35" s="31">
        <f>E5-$E$33</f>
        <v>269.97659999999996</v>
      </c>
      <c r="K35"/>
      <c r="L35"/>
      <c r="M35"/>
    </row>
    <row r="36" spans="2:13" x14ac:dyDescent="0.2">
      <c r="B36" s="7" t="s">
        <v>10</v>
      </c>
      <c r="C36" s="31">
        <f>C6-$C$33</f>
        <v>-40.639999999999873</v>
      </c>
      <c r="D36" s="31">
        <f>D6-$D$33</f>
        <v>254</v>
      </c>
      <c r="E36" s="31">
        <f t="shared" ref="E36:E40" si="5">E6-$E$33</f>
        <v>265.93799999999999</v>
      </c>
      <c r="K36"/>
      <c r="L36"/>
      <c r="M36"/>
    </row>
    <row r="37" spans="2:13" x14ac:dyDescent="0.2">
      <c r="B37" s="7" t="s">
        <v>11</v>
      </c>
      <c r="C37" s="31">
        <f t="shared" ref="C37:C40" si="6">C7-$C$33</f>
        <v>114.29999999999995</v>
      </c>
      <c r="D37" s="31">
        <f t="shared" ref="D37:D40" si="7">D7-$D$33</f>
        <v>186.68999999999997</v>
      </c>
      <c r="E37" s="31">
        <f t="shared" si="5"/>
        <v>145.03399999999999</v>
      </c>
    </row>
    <row r="38" spans="2:13" x14ac:dyDescent="0.2">
      <c r="B38" s="7" t="s">
        <v>12</v>
      </c>
      <c r="C38" s="31">
        <f t="shared" si="6"/>
        <v>-96.519999999999982</v>
      </c>
      <c r="D38" s="31">
        <f t="shared" si="7"/>
        <v>186.68999999999997</v>
      </c>
      <c r="E38" s="31">
        <f t="shared" si="5"/>
        <v>147.95499999999998</v>
      </c>
    </row>
    <row r="39" spans="2:13" x14ac:dyDescent="0.2">
      <c r="B39" s="7" t="s">
        <v>13</v>
      </c>
      <c r="C39" s="31">
        <f t="shared" si="6"/>
        <v>178.06669999999986</v>
      </c>
      <c r="D39" s="31">
        <f t="shared" si="7"/>
        <v>220.65487999999999</v>
      </c>
      <c r="E39" s="31">
        <f t="shared" si="5"/>
        <v>186.05246</v>
      </c>
    </row>
    <row r="40" spans="2:13" x14ac:dyDescent="0.2">
      <c r="B40" s="7" t="s">
        <v>14</v>
      </c>
      <c r="C40" s="31">
        <f t="shared" si="6"/>
        <v>60</v>
      </c>
      <c r="D40" s="31">
        <f t="shared" si="7"/>
        <v>135.88999999999999</v>
      </c>
      <c r="E40" s="31">
        <f t="shared" si="5"/>
        <v>175</v>
      </c>
    </row>
    <row r="41" spans="2:13" x14ac:dyDescent="0.2">
      <c r="B41" s="7"/>
    </row>
    <row r="42" spans="2:13" x14ac:dyDescent="0.2">
      <c r="B42" s="7" t="s">
        <v>5</v>
      </c>
      <c r="C42" s="31">
        <f>C19-C33</f>
        <v>0</v>
      </c>
      <c r="D42" s="31">
        <f t="shared" ref="D42:E42" si="8">D19-D33</f>
        <v>609.6</v>
      </c>
      <c r="E42" s="31">
        <f t="shared" si="8"/>
        <v>0</v>
      </c>
    </row>
    <row r="43" spans="2:13" x14ac:dyDescent="0.2">
      <c r="B43" s="7" t="s">
        <v>6</v>
      </c>
      <c r="C43" s="31">
        <f>C20-C33</f>
        <v>0</v>
      </c>
      <c r="D43" s="31">
        <f t="shared" ref="D43:E43" si="9">D20-D33</f>
        <v>609.6</v>
      </c>
      <c r="E43" s="31">
        <f t="shared" si="9"/>
        <v>0</v>
      </c>
    </row>
    <row r="44" spans="2:13" x14ac:dyDescent="0.2">
      <c r="B44" s="7" t="s">
        <v>7</v>
      </c>
      <c r="C44" s="31">
        <f>C21-C33</f>
        <v>0</v>
      </c>
      <c r="D44" s="31">
        <f t="shared" ref="D44:E44" si="10">D21-D33</f>
        <v>609.6</v>
      </c>
      <c r="E44" s="31">
        <f t="shared" si="10"/>
        <v>0</v>
      </c>
    </row>
    <row r="45" spans="2:13" x14ac:dyDescent="0.2">
      <c r="B45" s="7"/>
    </row>
    <row r="46" spans="2:13" x14ac:dyDescent="0.2">
      <c r="B46" s="7"/>
      <c r="C46" s="18" t="s">
        <v>83</v>
      </c>
      <c r="D46" s="19"/>
      <c r="E46" s="20"/>
    </row>
    <row r="47" spans="2:13" x14ac:dyDescent="0.2">
      <c r="B47" s="7"/>
      <c r="C47" s="11" t="s">
        <v>84</v>
      </c>
      <c r="D47" s="9"/>
      <c r="E47" s="10"/>
    </row>
    <row r="48" spans="2:13" x14ac:dyDescent="0.2">
      <c r="B48" s="5" t="s">
        <v>85</v>
      </c>
      <c r="C48" s="16">
        <v>19</v>
      </c>
      <c r="D48" s="127" t="str">
        <f>VLOOKUP($C$48,A89:B110,2,FALSE)</f>
        <v>Max Bump</v>
      </c>
      <c r="G48" s="5" t="s">
        <v>96</v>
      </c>
    </row>
    <row r="49" spans="2:8" x14ac:dyDescent="0.2">
      <c r="C49" s="5" t="s">
        <v>1</v>
      </c>
      <c r="D49" s="5" t="s">
        <v>2</v>
      </c>
      <c r="E49" s="5" t="s">
        <v>3</v>
      </c>
    </row>
    <row r="50" spans="2:8" x14ac:dyDescent="0.2">
      <c r="B50" s="5" t="s">
        <v>5</v>
      </c>
      <c r="C50" s="32">
        <f>VLOOKUP($C$48,$A$86:$Q$110,14,FALSE)</f>
        <v>0</v>
      </c>
      <c r="D50" s="33">
        <v>0</v>
      </c>
      <c r="E50" s="34">
        <v>0</v>
      </c>
    </row>
    <row r="51" spans="2:8" x14ac:dyDescent="0.2">
      <c r="B51" s="5" t="s">
        <v>6</v>
      </c>
      <c r="C51" s="35">
        <v>0</v>
      </c>
      <c r="D51" s="32">
        <f>VLOOKUP($C$48,$A$86:$Q$110,15,FALSE)</f>
        <v>0</v>
      </c>
      <c r="E51" s="36">
        <v>0</v>
      </c>
    </row>
    <row r="52" spans="2:8" x14ac:dyDescent="0.2">
      <c r="B52" s="5" t="s">
        <v>7</v>
      </c>
      <c r="C52" s="37">
        <v>0</v>
      </c>
      <c r="D52" s="38">
        <v>0</v>
      </c>
      <c r="E52" s="32">
        <f>VLOOKUP($C$48,$A$86:$Q$110,16,FALSE)</f>
        <v>2207.25</v>
      </c>
    </row>
    <row r="53" spans="2:8" x14ac:dyDescent="0.2">
      <c r="C53" s="5" t="s">
        <v>86</v>
      </c>
      <c r="D53" s="5" t="s">
        <v>87</v>
      </c>
      <c r="E53" s="5" t="s">
        <v>88</v>
      </c>
    </row>
    <row r="54" spans="2:8" x14ac:dyDescent="0.2">
      <c r="B54" s="5" t="s">
        <v>79</v>
      </c>
      <c r="C54" s="39">
        <f t="array" ref="C54:E54">cross_product(C42:E42,C50:E50)</f>
        <v>0</v>
      </c>
      <c r="D54" s="40">
        <v>0</v>
      </c>
      <c r="E54" s="41">
        <v>0</v>
      </c>
      <c r="H54" s="25"/>
    </row>
    <row r="55" spans="2:8" x14ac:dyDescent="0.2">
      <c r="B55" s="5" t="s">
        <v>80</v>
      </c>
      <c r="C55" s="39">
        <f t="array" ref="C55:E55">cross_product(C43:E43,C51:E51)</f>
        <v>0</v>
      </c>
      <c r="D55" s="40">
        <v>0</v>
      </c>
      <c r="E55" s="41">
        <v>0</v>
      </c>
      <c r="G55" s="25"/>
      <c r="H55" s="25"/>
    </row>
    <row r="56" spans="2:8" x14ac:dyDescent="0.2">
      <c r="B56" s="5" t="s">
        <v>81</v>
      </c>
      <c r="C56" s="39">
        <f t="array" ref="C56:E56">cross_product(C44:E44,C52:E52)</f>
        <v>1345539.6</v>
      </c>
      <c r="D56" s="40">
        <v>0</v>
      </c>
      <c r="E56" s="41">
        <v>0</v>
      </c>
      <c r="H56" s="25"/>
    </row>
    <row r="57" spans="2:8" x14ac:dyDescent="0.2">
      <c r="H57" s="25"/>
    </row>
    <row r="58" spans="2:8" x14ac:dyDescent="0.2">
      <c r="H58" s="25"/>
    </row>
    <row r="59" spans="2:8" x14ac:dyDescent="0.2">
      <c r="H59" s="25"/>
    </row>
    <row r="60" spans="2:8" x14ac:dyDescent="0.2">
      <c r="H60" s="25"/>
    </row>
    <row r="61" spans="2:8" x14ac:dyDescent="0.2">
      <c r="H61" s="25"/>
    </row>
    <row r="62" spans="2:8" x14ac:dyDescent="0.2">
      <c r="H62" s="25"/>
    </row>
    <row r="63" spans="2:8" x14ac:dyDescent="0.2">
      <c r="H63" s="25"/>
    </row>
    <row r="64" spans="2:8" x14ac:dyDescent="0.2">
      <c r="H64" s="25"/>
    </row>
    <row r="65" spans="2:16" x14ac:dyDescent="0.2">
      <c r="H65" s="25"/>
    </row>
    <row r="66" spans="2:16" x14ac:dyDescent="0.2">
      <c r="H66" s="25"/>
    </row>
    <row r="67" spans="2:16" x14ac:dyDescent="0.2">
      <c r="H67" s="25"/>
      <c r="O67" s="42"/>
    </row>
    <row r="68" spans="2:16" x14ac:dyDescent="0.2">
      <c r="H68" s="25"/>
    </row>
    <row r="69" spans="2:16" x14ac:dyDescent="0.2">
      <c r="C69" s="7" t="s">
        <v>9</v>
      </c>
      <c r="D69" s="7" t="s">
        <v>10</v>
      </c>
      <c r="E69" s="7" t="s">
        <v>11</v>
      </c>
      <c r="F69" s="7" t="s">
        <v>12</v>
      </c>
      <c r="G69" s="7" t="s">
        <v>13</v>
      </c>
      <c r="H69" s="7" t="s">
        <v>14</v>
      </c>
    </row>
    <row r="70" spans="2:16" x14ac:dyDescent="0.2">
      <c r="B70" s="5" t="s">
        <v>24</v>
      </c>
      <c r="C70" s="43" cm="1">
        <f t="array" ref="C70:H72">TRANSPOSE(C25:E30)</f>
        <v>-0.32254766454880285</v>
      </c>
      <c r="D70" s="43">
        <v>6.3097425690673128E-2</v>
      </c>
      <c r="E70" s="43">
        <v>-0.26454561153011036</v>
      </c>
      <c r="F70" s="43">
        <v>0.20122931963221968</v>
      </c>
      <c r="G70" s="43">
        <v>-0.43589157173246662</v>
      </c>
      <c r="H70" s="43">
        <v>7.0259003755609908E-2</v>
      </c>
      <c r="J70" s="44" t="s">
        <v>31</v>
      </c>
      <c r="L70" s="45">
        <f>-C50</f>
        <v>0</v>
      </c>
      <c r="O70" s="46">
        <f t="array" ref="O70:O75">MMULT(MINVERSE(C70:H75),L70:L75)</f>
        <v>14171.559434082297</v>
      </c>
      <c r="P70" s="7" t="s">
        <v>9</v>
      </c>
    </row>
    <row r="71" spans="2:16" x14ac:dyDescent="0.2">
      <c r="B71" s="5" t="s">
        <v>25</v>
      </c>
      <c r="C71" s="47">
        <v>0.94651312890817185</v>
      </c>
      <c r="D71" s="47">
        <v>0.99780025523206373</v>
      </c>
      <c r="E71" s="47">
        <v>0.96431501885185689</v>
      </c>
      <c r="F71" s="47">
        <v>0.97953495487827769</v>
      </c>
      <c r="G71" s="47">
        <v>0.87879879018719564</v>
      </c>
      <c r="H71" s="47">
        <v>0.99746005041801833</v>
      </c>
      <c r="J71" s="48" t="s">
        <v>32</v>
      </c>
      <c r="L71" s="49">
        <f>-D51</f>
        <v>0</v>
      </c>
      <c r="O71" s="50">
        <v>-3243.8909995237045</v>
      </c>
      <c r="P71" s="7" t="s">
        <v>10</v>
      </c>
    </row>
    <row r="72" spans="2:16" x14ac:dyDescent="0.2">
      <c r="B72" s="5" t="s">
        <v>26</v>
      </c>
      <c r="C72" s="47">
        <v>8.7121121764728443E-3</v>
      </c>
      <c r="D72" s="51">
        <v>2.033139272255028E-2</v>
      </c>
      <c r="E72" s="51">
        <v>1.0590742981610038E-2</v>
      </c>
      <c r="F72" s="51">
        <v>4.2465388217267034E-3</v>
      </c>
      <c r="G72" s="51">
        <v>0.19419377965867285</v>
      </c>
      <c r="H72" s="51">
        <v>1.1709833959268317E-2</v>
      </c>
      <c r="J72" s="48" t="s">
        <v>33</v>
      </c>
      <c r="L72" s="49">
        <f>-E52</f>
        <v>-2207.25</v>
      </c>
      <c r="O72" s="50">
        <v>743.57885301015813</v>
      </c>
      <c r="P72" s="7" t="s">
        <v>11</v>
      </c>
    </row>
    <row r="73" spans="2:16" x14ac:dyDescent="0.2">
      <c r="B73" s="5" t="s">
        <v>27</v>
      </c>
      <c r="C73" s="52" cm="1">
        <f t="array" ref="C73:C75">TRANSPOSE(cross_product(C35:E35,C25:E25))</f>
        <v>-253.3235199051658</v>
      </c>
      <c r="D73" s="52" cm="1">
        <f t="array" ref="D73:D75">TRANSPOSE(cross_product(C36:E36,C26:E26))</f>
        <v>-260.18883052437678</v>
      </c>
      <c r="E73" s="52" cm="1">
        <f t="array" ref="E73:E75">TRANSPOSE(cross_product(C37:E37,C27:E27))</f>
        <v>-137.88127863692344</v>
      </c>
      <c r="F73" s="52">
        <f t="array" ref="F73:F75">TRANSPOSE(cross_product(C38:E38,C28:E28))</f>
        <v>-144.1343079163874</v>
      </c>
      <c r="G73" s="52">
        <f t="array" ref="G73:G75">TRANSPOSE(cross_product(C39:E39,C29:E29))</f>
        <v>-120.6528716120207</v>
      </c>
      <c r="H73" s="52">
        <f t="array" ref="H73:H75">TRANSPOSE(cross_product(C40:E40,C30:E30))</f>
        <v>-172.96425948642823</v>
      </c>
      <c r="I73" s="53" t="s">
        <v>30</v>
      </c>
      <c r="J73" s="48" t="s">
        <v>34</v>
      </c>
      <c r="K73" s="42" t="s">
        <v>37</v>
      </c>
      <c r="L73" s="49">
        <f>-SUM(C54:C56)</f>
        <v>-1345539.6</v>
      </c>
      <c r="O73" s="50">
        <v>-590.84666517476944</v>
      </c>
      <c r="P73" s="7" t="s">
        <v>12</v>
      </c>
    </row>
    <row r="74" spans="2:16" x14ac:dyDescent="0.2">
      <c r="B74" s="5" t="s">
        <v>28</v>
      </c>
      <c r="C74" s="54">
        <v>-87.998665557348318</v>
      </c>
      <c r="D74" s="54">
        <v>17.606270993570671</v>
      </c>
      <c r="E74" s="54">
        <v>-39.578630145456053</v>
      </c>
      <c r="F74" s="54">
        <v>30.182759913258121</v>
      </c>
      <c r="G74" s="54">
        <v>-115.67814471843886</v>
      </c>
      <c r="H74" s="54">
        <v>11.592735619675635</v>
      </c>
      <c r="J74" s="48" t="s">
        <v>35</v>
      </c>
      <c r="L74" s="49">
        <f>-SUM(D54:D56)</f>
        <v>0</v>
      </c>
      <c r="O74" s="50">
        <v>-11687.333596260234</v>
      </c>
      <c r="P74" s="7" t="s">
        <v>13</v>
      </c>
    </row>
    <row r="75" spans="2:16" x14ac:dyDescent="0.2">
      <c r="B75" s="5" t="s">
        <v>29</v>
      </c>
      <c r="C75" s="55">
        <v>181.69905571360641</v>
      </c>
      <c r="D75" s="55">
        <v>-56.577348498061916</v>
      </c>
      <c r="E75" s="55">
        <v>159.6092268713235</v>
      </c>
      <c r="F75" s="55">
        <v>-132.11221552699044</v>
      </c>
      <c r="G75" s="55">
        <v>252.66640298626501</v>
      </c>
      <c r="H75" s="55">
        <v>50.300107004731274</v>
      </c>
      <c r="J75" s="56" t="s">
        <v>36</v>
      </c>
      <c r="L75" s="57">
        <f>-SUM(E54:E56)</f>
        <v>0</v>
      </c>
      <c r="O75" s="58">
        <v>-44.399235249345793</v>
      </c>
      <c r="P75" s="7" t="s">
        <v>14</v>
      </c>
    </row>
    <row r="76" spans="2:16" x14ac:dyDescent="0.2">
      <c r="O76" s="59"/>
    </row>
    <row r="77" spans="2:16" x14ac:dyDescent="0.2">
      <c r="E77" s="60" t="s">
        <v>61</v>
      </c>
      <c r="F77" s="53"/>
      <c r="G77" s="53"/>
      <c r="H77" s="53"/>
      <c r="I77" s="53" t="s">
        <v>30</v>
      </c>
      <c r="J77" s="61" t="s">
        <v>62</v>
      </c>
      <c r="K77" s="42" t="s">
        <v>37</v>
      </c>
      <c r="L77" s="60" t="s">
        <v>99</v>
      </c>
      <c r="O77" s="62" t="s">
        <v>63</v>
      </c>
    </row>
    <row r="79" spans="2:16" x14ac:dyDescent="0.2">
      <c r="C79" s="59" t="s">
        <v>20</v>
      </c>
    </row>
    <row r="80" spans="2:16" x14ac:dyDescent="0.2">
      <c r="B80" s="63" t="s">
        <v>16</v>
      </c>
      <c r="C80" s="16">
        <v>300</v>
      </c>
      <c r="D80" s="5" t="s">
        <v>19</v>
      </c>
    </row>
    <row r="81" spans="1:26" x14ac:dyDescent="0.2">
      <c r="B81" s="63" t="s">
        <v>17</v>
      </c>
      <c r="C81" s="16">
        <v>0.29699999999999999</v>
      </c>
      <c r="D81" s="5" t="s">
        <v>15</v>
      </c>
    </row>
    <row r="82" spans="1:26" x14ac:dyDescent="0.2">
      <c r="B82" s="63" t="s">
        <v>97</v>
      </c>
      <c r="C82" s="16">
        <v>1.2190000000000001</v>
      </c>
      <c r="D82" s="5" t="s">
        <v>15</v>
      </c>
    </row>
    <row r="83" spans="1:26" x14ac:dyDescent="0.2">
      <c r="B83" s="63" t="s">
        <v>18</v>
      </c>
      <c r="C83" s="16">
        <v>1.524</v>
      </c>
      <c r="D83" s="5" t="s">
        <v>15</v>
      </c>
      <c r="E83" s="5" t="s">
        <v>98</v>
      </c>
    </row>
    <row r="84" spans="1:26" x14ac:dyDescent="0.2">
      <c r="B84" s="63" t="s">
        <v>60</v>
      </c>
      <c r="C84" s="16">
        <v>0.24</v>
      </c>
      <c r="D84" s="5" t="s">
        <v>15</v>
      </c>
      <c r="E84" s="16">
        <v>9.81</v>
      </c>
      <c r="F84" s="5" t="s">
        <v>15</v>
      </c>
    </row>
    <row r="86" spans="1:26" x14ac:dyDescent="0.2">
      <c r="A86" s="64">
        <v>1</v>
      </c>
      <c r="B86" s="64">
        <v>2</v>
      </c>
      <c r="C86" s="64">
        <v>3</v>
      </c>
      <c r="D86" s="64">
        <v>4</v>
      </c>
      <c r="E86" s="64">
        <v>5</v>
      </c>
      <c r="F86" s="64">
        <v>6</v>
      </c>
      <c r="G86" s="64">
        <v>7</v>
      </c>
      <c r="H86" s="64">
        <v>8</v>
      </c>
      <c r="I86" s="64">
        <v>9</v>
      </c>
      <c r="J86" s="64">
        <v>10</v>
      </c>
      <c r="K86" s="64">
        <v>11</v>
      </c>
      <c r="L86" s="64">
        <v>12</v>
      </c>
      <c r="M86" s="64">
        <v>13</v>
      </c>
      <c r="N86" s="64">
        <v>14</v>
      </c>
      <c r="O86" s="64">
        <v>15</v>
      </c>
      <c r="P86" s="64">
        <v>16</v>
      </c>
      <c r="Q86" s="64">
        <v>17</v>
      </c>
    </row>
    <row r="87" spans="1:26" x14ac:dyDescent="0.2">
      <c r="B87" s="12" t="s">
        <v>38</v>
      </c>
      <c r="C87" s="12" t="s">
        <v>39</v>
      </c>
      <c r="D87" s="12" t="s">
        <v>94</v>
      </c>
      <c r="E87" s="12" t="s">
        <v>95</v>
      </c>
      <c r="F87" s="12" t="s">
        <v>40</v>
      </c>
      <c r="G87" s="12" t="s">
        <v>41</v>
      </c>
      <c r="H87" s="12" t="s">
        <v>42</v>
      </c>
      <c r="I87" s="12" t="s">
        <v>77</v>
      </c>
      <c r="J87" s="12" t="s">
        <v>78</v>
      </c>
      <c r="K87" s="12" t="s">
        <v>76</v>
      </c>
      <c r="L87" s="12" t="s">
        <v>75</v>
      </c>
      <c r="M87" s="12" t="s">
        <v>74</v>
      </c>
      <c r="N87" s="12" t="s">
        <v>5</v>
      </c>
      <c r="O87" s="12" t="s">
        <v>6</v>
      </c>
      <c r="P87" s="12" t="s">
        <v>7</v>
      </c>
      <c r="Q87" s="12" t="s">
        <v>58</v>
      </c>
      <c r="S87" s="65"/>
      <c r="T87" s="59" t="s">
        <v>9</v>
      </c>
      <c r="U87" s="59" t="s">
        <v>10</v>
      </c>
      <c r="V87" s="59" t="s">
        <v>11</v>
      </c>
      <c r="W87" s="59" t="s">
        <v>12</v>
      </c>
      <c r="X87" s="59" t="s">
        <v>13</v>
      </c>
      <c r="Y87" s="59" t="s">
        <v>14</v>
      </c>
      <c r="Z87" s="66"/>
    </row>
    <row r="88" spans="1:26" ht="16" thickBot="1" x14ac:dyDescent="0.25">
      <c r="B88" s="12"/>
      <c r="C88" s="12"/>
      <c r="D88" s="67" t="s">
        <v>43</v>
      </c>
      <c r="E88" s="67" t="s">
        <v>44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7"/>
      <c r="Q88" s="12" t="s">
        <v>59</v>
      </c>
      <c r="S88" s="66"/>
      <c r="T88" s="68">
        <f t="array" ref="T88:Y88">TRANSPOSE(O70:O75)</f>
        <v>14171.559434082297</v>
      </c>
      <c r="U88" s="64">
        <v>-3243.8909995237045</v>
      </c>
      <c r="V88" s="64">
        <v>743.57885301015813</v>
      </c>
      <c r="W88" s="64">
        <v>-590.84666517476944</v>
      </c>
      <c r="X88" s="64">
        <v>-11687.333596260234</v>
      </c>
      <c r="Y88" s="64">
        <v>-44.399235249345793</v>
      </c>
      <c r="Z88" s="69"/>
    </row>
    <row r="89" spans="1:26" x14ac:dyDescent="0.2">
      <c r="A89" s="64">
        <v>1</v>
      </c>
      <c r="B89" s="70" t="s">
        <v>45</v>
      </c>
      <c r="C89" s="71" t="s">
        <v>46</v>
      </c>
      <c r="D89" s="72"/>
      <c r="E89" s="72"/>
      <c r="F89" s="73"/>
      <c r="G89" s="72"/>
      <c r="H89" s="72"/>
      <c r="I89" s="72"/>
      <c r="J89" s="74"/>
      <c r="K89" s="74"/>
      <c r="L89" s="74"/>
      <c r="M89" s="74"/>
      <c r="N89" s="71">
        <v>0</v>
      </c>
      <c r="O89" s="72">
        <v>0</v>
      </c>
      <c r="P89" s="73">
        <v>0</v>
      </c>
      <c r="Q89" s="75">
        <v>0</v>
      </c>
      <c r="S89" s="69">
        <v>1</v>
      </c>
      <c r="T89" s="76">
        <f t="dataTable" ref="T89:Y110" dt2D="0" dtr="0" r1="C48"/>
        <v>68.042439269443562</v>
      </c>
      <c r="U89" s="77">
        <v>32.979296480054231</v>
      </c>
      <c r="V89" s="77">
        <v>58.232638242251888</v>
      </c>
      <c r="W89" s="77">
        <v>-88.041739314581918</v>
      </c>
      <c r="X89" s="77">
        <v>-89.956205537715931</v>
      </c>
      <c r="Y89" s="78">
        <v>-3.1791292657678838</v>
      </c>
      <c r="Z89" s="79">
        <v>0</v>
      </c>
    </row>
    <row r="90" spans="1:26" x14ac:dyDescent="0.2">
      <c r="A90" s="64">
        <v>2</v>
      </c>
      <c r="B90" s="80" t="s">
        <v>47</v>
      </c>
      <c r="C90" s="81" t="s">
        <v>46</v>
      </c>
      <c r="D90" s="82"/>
      <c r="E90" s="82"/>
      <c r="F90" s="83"/>
      <c r="G90" s="82"/>
      <c r="H90" s="82"/>
      <c r="I90" s="82">
        <f t="shared" ref="I90:I110" si="11">$C$80*E90*$E$84*$C$81/$C$82</f>
        <v>0</v>
      </c>
      <c r="J90" s="84">
        <f t="shared" ref="J90:J110" si="12">$C$80*D90*$E$84*$C$81/$C$83</f>
        <v>0</v>
      </c>
      <c r="K90" s="84">
        <f t="shared" ref="K90:K110" si="13">P90/($C$80*$E$84)</f>
        <v>0.25</v>
      </c>
      <c r="L90" s="84">
        <f>$C$80*D90*$E$84</f>
        <v>0</v>
      </c>
      <c r="M90" s="84">
        <f>$C$80*E90*$E$84</f>
        <v>0</v>
      </c>
      <c r="N90" s="82">
        <f>L90*K90</f>
        <v>0</v>
      </c>
      <c r="O90" s="82">
        <f>M90*K90</f>
        <v>0</v>
      </c>
      <c r="P90" s="83">
        <f t="shared" ref="P90:P110" si="14">($C$80*$E$84/4+(I90+J90)/2)</f>
        <v>735.75</v>
      </c>
      <c r="Q90" s="85">
        <v>0</v>
      </c>
      <c r="S90" s="69">
        <v>2</v>
      </c>
      <c r="T90" s="86">
        <v>4723.8531446940988</v>
      </c>
      <c r="U90" s="87">
        <v>-1081.296999841235</v>
      </c>
      <c r="V90" s="87">
        <v>247.85961767005278</v>
      </c>
      <c r="W90" s="87">
        <v>-196.94888839159012</v>
      </c>
      <c r="X90" s="87">
        <v>-3895.7778654200779</v>
      </c>
      <c r="Y90" s="88">
        <v>-14.799745083115226</v>
      </c>
      <c r="Z90" s="79">
        <v>0</v>
      </c>
    </row>
    <row r="91" spans="1:26" x14ac:dyDescent="0.2">
      <c r="A91" s="64">
        <v>3</v>
      </c>
      <c r="B91" s="89" t="s">
        <v>48</v>
      </c>
      <c r="C91" s="90" t="s">
        <v>46</v>
      </c>
      <c r="D91" s="91">
        <v>-1.25</v>
      </c>
      <c r="E91" s="91">
        <v>0</v>
      </c>
      <c r="F91" s="92"/>
      <c r="G91" s="93"/>
      <c r="H91" s="93"/>
      <c r="I91" s="93">
        <f t="shared" si="11"/>
        <v>0</v>
      </c>
      <c r="J91" s="93">
        <f t="shared" si="12"/>
        <v>-716.92175196850383</v>
      </c>
      <c r="K91" s="93">
        <f t="shared" si="13"/>
        <v>0.12819881889763782</v>
      </c>
      <c r="L91" s="93">
        <f t="shared" ref="L91:L110" si="15">$C$80*D91*$E$84</f>
        <v>-3678.75</v>
      </c>
      <c r="M91" s="93">
        <f t="shared" ref="M91:M110" si="16">$C$80*E91*$E$84</f>
        <v>0</v>
      </c>
      <c r="N91" s="93">
        <f t="shared" ref="N91:N110" si="17">L91*K91</f>
        <v>-471.61140501968509</v>
      </c>
      <c r="O91" s="93">
        <f t="shared" ref="O91:O110" si="18">M91*K91</f>
        <v>0</v>
      </c>
      <c r="P91" s="93">
        <f t="shared" si="14"/>
        <v>377.28912401574809</v>
      </c>
      <c r="Q91" s="94"/>
      <c r="S91" s="69">
        <v>3</v>
      </c>
      <c r="T91" s="95">
        <v>3716.545800974452</v>
      </c>
      <c r="U91" s="96">
        <v>-1956.2630338712411</v>
      </c>
      <c r="V91" s="96">
        <v>-2158.4981170872525</v>
      </c>
      <c r="W91" s="96">
        <v>2047.8530993661386</v>
      </c>
      <c r="X91" s="96">
        <v>-1839.4659606667203</v>
      </c>
      <c r="Y91" s="97">
        <v>126.57076305380997</v>
      </c>
      <c r="Z91" s="79">
        <v>0</v>
      </c>
    </row>
    <row r="92" spans="1:26" x14ac:dyDescent="0.2">
      <c r="A92" s="64">
        <v>4</v>
      </c>
      <c r="B92" s="89" t="s">
        <v>49</v>
      </c>
      <c r="C92" s="90" t="s">
        <v>46</v>
      </c>
      <c r="D92" s="91">
        <v>0</v>
      </c>
      <c r="E92" s="91">
        <v>2</v>
      </c>
      <c r="F92" s="92"/>
      <c r="G92" s="93"/>
      <c r="H92" s="93"/>
      <c r="I92" s="93">
        <f t="shared" si="11"/>
        <v>1434.0787530762918</v>
      </c>
      <c r="J92" s="93">
        <f t="shared" si="12"/>
        <v>0</v>
      </c>
      <c r="K92" s="93">
        <f t="shared" si="13"/>
        <v>0.49364232977850692</v>
      </c>
      <c r="L92" s="93">
        <f t="shared" si="15"/>
        <v>0</v>
      </c>
      <c r="M92" s="93">
        <f t="shared" si="16"/>
        <v>5886</v>
      </c>
      <c r="N92" s="93">
        <f t="shared" si="17"/>
        <v>0</v>
      </c>
      <c r="O92" s="93">
        <f t="shared" si="18"/>
        <v>2905.5787530762918</v>
      </c>
      <c r="P92" s="93">
        <f t="shared" si="14"/>
        <v>1452.7893765381459</v>
      </c>
      <c r="Q92" s="94"/>
      <c r="S92" s="69">
        <v>4</v>
      </c>
      <c r="T92" s="95">
        <v>10050.734962906388</v>
      </c>
      <c r="U92" s="96">
        <v>747.48793844872398</v>
      </c>
      <c r="V92" s="96">
        <v>-2417.4230493578366</v>
      </c>
      <c r="W92" s="96">
        <v>-4257.0408044853993</v>
      </c>
      <c r="X92" s="96">
        <v>-7796.7496656855819</v>
      </c>
      <c r="Y92" s="97">
        <v>188.75622423014829</v>
      </c>
      <c r="Z92" s="79">
        <v>0</v>
      </c>
    </row>
    <row r="93" spans="1:26" x14ac:dyDescent="0.2">
      <c r="A93" s="64">
        <v>5</v>
      </c>
      <c r="B93" s="89" t="s">
        <v>50</v>
      </c>
      <c r="C93" s="90" t="s">
        <v>46</v>
      </c>
      <c r="D93" s="91">
        <v>0</v>
      </c>
      <c r="E93" s="91">
        <v>0</v>
      </c>
      <c r="F93" s="92"/>
      <c r="G93" s="93"/>
      <c r="H93" s="93"/>
      <c r="I93" s="93">
        <f t="shared" si="11"/>
        <v>0</v>
      </c>
      <c r="J93" s="93">
        <f t="shared" si="12"/>
        <v>0</v>
      </c>
      <c r="K93" s="93">
        <f t="shared" si="13"/>
        <v>0.25</v>
      </c>
      <c r="L93" s="93">
        <f t="shared" si="15"/>
        <v>0</v>
      </c>
      <c r="M93" s="93">
        <f t="shared" si="16"/>
        <v>0</v>
      </c>
      <c r="N93" s="93">
        <f t="shared" si="17"/>
        <v>0</v>
      </c>
      <c r="O93" s="93">
        <f t="shared" si="18"/>
        <v>0</v>
      </c>
      <c r="P93" s="93">
        <f t="shared" si="14"/>
        <v>735.75</v>
      </c>
      <c r="Q93" s="94"/>
      <c r="S93" s="69">
        <v>5</v>
      </c>
      <c r="T93" s="95">
        <v>4723.8531446940988</v>
      </c>
      <c r="U93" s="96">
        <v>-1081.296999841235</v>
      </c>
      <c r="V93" s="96">
        <v>247.85961767005278</v>
      </c>
      <c r="W93" s="96">
        <v>-196.94888839159012</v>
      </c>
      <c r="X93" s="96">
        <v>-3895.7778654200779</v>
      </c>
      <c r="Y93" s="97">
        <v>-14.799745083115226</v>
      </c>
      <c r="Z93" s="79">
        <v>0</v>
      </c>
    </row>
    <row r="94" spans="1:26" x14ac:dyDescent="0.2">
      <c r="A94" s="64">
        <v>6</v>
      </c>
      <c r="B94" s="98" t="s">
        <v>51</v>
      </c>
      <c r="C94" s="90" t="s">
        <v>46</v>
      </c>
      <c r="D94" s="91">
        <v>1</v>
      </c>
      <c r="E94" s="91">
        <v>0</v>
      </c>
      <c r="F94" s="92"/>
      <c r="G94" s="93"/>
      <c r="H94" s="93"/>
      <c r="I94" s="93">
        <f t="shared" si="11"/>
        <v>0</v>
      </c>
      <c r="J94" s="93">
        <f t="shared" si="12"/>
        <v>573.53740157480308</v>
      </c>
      <c r="K94" s="93">
        <f t="shared" si="13"/>
        <v>0.34744094488188976</v>
      </c>
      <c r="L94" s="93">
        <f t="shared" si="15"/>
        <v>2943</v>
      </c>
      <c r="M94" s="93">
        <f t="shared" si="16"/>
        <v>0</v>
      </c>
      <c r="N94" s="93">
        <f t="shared" si="17"/>
        <v>1022.5187007874016</v>
      </c>
      <c r="O94" s="93">
        <f t="shared" si="18"/>
        <v>0</v>
      </c>
      <c r="P94" s="93">
        <f t="shared" si="14"/>
        <v>1022.5187007874015</v>
      </c>
      <c r="Q94" s="94"/>
      <c r="S94" s="69">
        <v>6</v>
      </c>
      <c r="T94" s="95">
        <v>3759.087093097151</v>
      </c>
      <c r="U94" s="96">
        <v>1536.5032751994215</v>
      </c>
      <c r="V94" s="96">
        <v>5299.9615874520641</v>
      </c>
      <c r="W94" s="96">
        <v>-4932.7109007854815</v>
      </c>
      <c r="X94" s="96">
        <v>-5757.3633376490297</v>
      </c>
      <c r="Y94" s="97">
        <v>-311.4455752386084</v>
      </c>
      <c r="Z94" s="79">
        <v>0</v>
      </c>
    </row>
    <row r="95" spans="1:26" x14ac:dyDescent="0.2">
      <c r="A95" s="99">
        <v>7</v>
      </c>
      <c r="B95" s="100" t="s">
        <v>52</v>
      </c>
      <c r="C95" s="101" t="s">
        <v>46</v>
      </c>
      <c r="D95" s="102">
        <v>-1</v>
      </c>
      <c r="E95" s="102">
        <v>1</v>
      </c>
      <c r="F95" s="103"/>
      <c r="G95" s="104"/>
      <c r="H95" s="104"/>
      <c r="I95" s="104">
        <f t="shared" si="11"/>
        <v>717.03937653814592</v>
      </c>
      <c r="J95" s="104">
        <f t="shared" si="12"/>
        <v>-573.53740157480308</v>
      </c>
      <c r="K95" s="104">
        <f t="shared" si="13"/>
        <v>0.27438022000736373</v>
      </c>
      <c r="L95" s="104">
        <f t="shared" si="15"/>
        <v>-2943</v>
      </c>
      <c r="M95" s="104">
        <f t="shared" si="16"/>
        <v>2943</v>
      </c>
      <c r="N95" s="104">
        <f t="shared" si="17"/>
        <v>-807.50098748167147</v>
      </c>
      <c r="O95" s="104">
        <f t="shared" si="18"/>
        <v>807.50098748167147</v>
      </c>
      <c r="P95" s="104">
        <f t="shared" si="14"/>
        <v>807.50098748167147</v>
      </c>
      <c r="Q95" s="105"/>
      <c r="S95" s="69">
        <v>7</v>
      </c>
      <c r="T95" s="95">
        <v>7601.4139183285488</v>
      </c>
      <c r="U95" s="96">
        <v>-2785.7853345692083</v>
      </c>
      <c r="V95" s="96">
        <v>-4449.2618347767839</v>
      </c>
      <c r="W95" s="96">
        <v>2388.1240086315352</v>
      </c>
      <c r="X95" s="96">
        <v>-4033.681137330766</v>
      </c>
      <c r="Y95" s="97">
        <v>274.04749576043105</v>
      </c>
      <c r="Z95" s="79">
        <v>0</v>
      </c>
    </row>
    <row r="96" spans="1:26" x14ac:dyDescent="0.2">
      <c r="A96" s="64">
        <v>8</v>
      </c>
      <c r="B96" s="98" t="s">
        <v>53</v>
      </c>
      <c r="C96" s="90" t="s">
        <v>46</v>
      </c>
      <c r="D96" s="91">
        <v>0.2</v>
      </c>
      <c r="E96" s="91">
        <v>1</v>
      </c>
      <c r="F96" s="92"/>
      <c r="G96" s="106"/>
      <c r="H96" s="106"/>
      <c r="I96" s="93">
        <f t="shared" si="11"/>
        <v>717.03937653814592</v>
      </c>
      <c r="J96" s="93">
        <f t="shared" si="12"/>
        <v>114.70748031496063</v>
      </c>
      <c r="K96" s="93">
        <f t="shared" si="13"/>
        <v>0.39130935386563143</v>
      </c>
      <c r="L96" s="106">
        <f t="shared" si="15"/>
        <v>588.6</v>
      </c>
      <c r="M96" s="93">
        <f t="shared" si="16"/>
        <v>2943</v>
      </c>
      <c r="N96" s="93">
        <f t="shared" si="17"/>
        <v>230.32468568531067</v>
      </c>
      <c r="O96" s="93">
        <f t="shared" si="18"/>
        <v>1151.6234284265533</v>
      </c>
      <c r="P96" s="93">
        <f t="shared" si="14"/>
        <v>1151.6234284265533</v>
      </c>
      <c r="Q96" s="94"/>
      <c r="S96" s="69">
        <v>8</v>
      </c>
      <c r="T96" s="95">
        <v>7048.5279341817131</v>
      </c>
      <c r="U96" s="96">
        <v>134.62108222255392</v>
      </c>
      <c r="V96" s="96">
        <v>352.07289314404954</v>
      </c>
      <c r="W96" s="96">
        <v>-2890.8601415028234</v>
      </c>
      <c r="X96" s="96">
        <v>-6216.4389545470658</v>
      </c>
      <c r="Y96" s="97">
        <v>-2.2900121166751433</v>
      </c>
      <c r="Z96" s="79">
        <v>0</v>
      </c>
    </row>
    <row r="97" spans="1:26" x14ac:dyDescent="0.2">
      <c r="A97" s="64">
        <v>9</v>
      </c>
      <c r="B97" s="98"/>
      <c r="C97" s="90" t="s">
        <v>46</v>
      </c>
      <c r="D97" s="91"/>
      <c r="E97" s="91"/>
      <c r="F97" s="92"/>
      <c r="G97" s="106"/>
      <c r="H97" s="106"/>
      <c r="I97" s="93">
        <f t="shared" si="11"/>
        <v>0</v>
      </c>
      <c r="J97" s="93">
        <f t="shared" si="12"/>
        <v>0</v>
      </c>
      <c r="K97" s="93">
        <f t="shared" si="13"/>
        <v>0.25</v>
      </c>
      <c r="L97" s="106">
        <f t="shared" si="15"/>
        <v>0</v>
      </c>
      <c r="M97" s="93">
        <f t="shared" si="16"/>
        <v>0</v>
      </c>
      <c r="N97" s="93">
        <f t="shared" si="17"/>
        <v>0</v>
      </c>
      <c r="O97" s="93">
        <f t="shared" si="18"/>
        <v>0</v>
      </c>
      <c r="P97" s="93">
        <f t="shared" si="14"/>
        <v>735.75</v>
      </c>
      <c r="Q97" s="94"/>
      <c r="S97" s="69">
        <v>9</v>
      </c>
      <c r="T97" s="95">
        <v>4723.8531446940988</v>
      </c>
      <c r="U97" s="96">
        <v>-1081.296999841235</v>
      </c>
      <c r="V97" s="96">
        <v>247.85961767005278</v>
      </c>
      <c r="W97" s="96">
        <v>-196.94888839159012</v>
      </c>
      <c r="X97" s="96">
        <v>-3895.7778654200779</v>
      </c>
      <c r="Y97" s="97">
        <v>-14.799745083115226</v>
      </c>
      <c r="Z97" s="79">
        <v>0</v>
      </c>
    </row>
    <row r="98" spans="1:26" x14ac:dyDescent="0.2">
      <c r="A98" s="64">
        <v>10</v>
      </c>
      <c r="B98" s="98"/>
      <c r="C98" s="90" t="s">
        <v>46</v>
      </c>
      <c r="D98" s="91"/>
      <c r="E98" s="91"/>
      <c r="F98" s="92"/>
      <c r="G98" s="106"/>
      <c r="H98" s="106"/>
      <c r="I98" s="93">
        <f t="shared" si="11"/>
        <v>0</v>
      </c>
      <c r="J98" s="93">
        <f t="shared" si="12"/>
        <v>0</v>
      </c>
      <c r="K98" s="93">
        <f t="shared" si="13"/>
        <v>0.25</v>
      </c>
      <c r="L98" s="106">
        <f t="shared" si="15"/>
        <v>0</v>
      </c>
      <c r="M98" s="93">
        <f t="shared" si="16"/>
        <v>0</v>
      </c>
      <c r="N98" s="93">
        <f t="shared" si="17"/>
        <v>0</v>
      </c>
      <c r="O98" s="93">
        <f t="shared" si="18"/>
        <v>0</v>
      </c>
      <c r="P98" s="93">
        <f t="shared" si="14"/>
        <v>735.75</v>
      </c>
      <c r="Q98" s="94"/>
      <c r="S98" s="69">
        <v>10</v>
      </c>
      <c r="T98" s="95">
        <v>4723.8531446940988</v>
      </c>
      <c r="U98" s="96">
        <v>-1081.296999841235</v>
      </c>
      <c r="V98" s="96">
        <v>247.85961767005278</v>
      </c>
      <c r="W98" s="96">
        <v>-196.94888839159012</v>
      </c>
      <c r="X98" s="96">
        <v>-3895.7778654200779</v>
      </c>
      <c r="Y98" s="97">
        <v>-14.799745083115226</v>
      </c>
      <c r="Z98" s="79">
        <v>0</v>
      </c>
    </row>
    <row r="99" spans="1:26" x14ac:dyDescent="0.2">
      <c r="A99" s="64">
        <v>11</v>
      </c>
      <c r="B99" s="98"/>
      <c r="C99" s="90" t="s">
        <v>46</v>
      </c>
      <c r="D99" s="91"/>
      <c r="E99" s="91"/>
      <c r="F99" s="92"/>
      <c r="G99" s="106"/>
      <c r="H99" s="106"/>
      <c r="I99" s="93">
        <f t="shared" si="11"/>
        <v>0</v>
      </c>
      <c r="J99" s="93">
        <f t="shared" si="12"/>
        <v>0</v>
      </c>
      <c r="K99" s="93">
        <f t="shared" si="13"/>
        <v>0.25</v>
      </c>
      <c r="L99" s="106">
        <f t="shared" si="15"/>
        <v>0</v>
      </c>
      <c r="M99" s="93">
        <f t="shared" si="16"/>
        <v>0</v>
      </c>
      <c r="N99" s="93">
        <f t="shared" si="17"/>
        <v>0</v>
      </c>
      <c r="O99" s="93">
        <f t="shared" si="18"/>
        <v>0</v>
      </c>
      <c r="P99" s="93">
        <f t="shared" si="14"/>
        <v>735.75</v>
      </c>
      <c r="Q99" s="94"/>
      <c r="S99" s="69">
        <v>11</v>
      </c>
      <c r="T99" s="95">
        <v>4723.8531446940988</v>
      </c>
      <c r="U99" s="96">
        <v>-1081.296999841235</v>
      </c>
      <c r="V99" s="96">
        <v>247.85961767005278</v>
      </c>
      <c r="W99" s="96">
        <v>-196.94888839159012</v>
      </c>
      <c r="X99" s="96">
        <v>-3895.7778654200779</v>
      </c>
      <c r="Y99" s="97">
        <v>-14.799745083115226</v>
      </c>
      <c r="Z99" s="79">
        <v>0</v>
      </c>
    </row>
    <row r="100" spans="1:26" x14ac:dyDescent="0.2">
      <c r="A100" s="64">
        <v>12</v>
      </c>
      <c r="B100" s="98"/>
      <c r="C100" s="107" t="s">
        <v>46</v>
      </c>
      <c r="D100" s="108"/>
      <c r="E100" s="108"/>
      <c r="F100" s="109"/>
      <c r="G100" s="106"/>
      <c r="H100" s="106"/>
      <c r="I100" s="93">
        <f t="shared" si="11"/>
        <v>0</v>
      </c>
      <c r="J100" s="93">
        <f t="shared" si="12"/>
        <v>0</v>
      </c>
      <c r="K100" s="93">
        <f t="shared" si="13"/>
        <v>0.25</v>
      </c>
      <c r="L100" s="106">
        <f t="shared" si="15"/>
        <v>0</v>
      </c>
      <c r="M100" s="93">
        <f t="shared" si="16"/>
        <v>0</v>
      </c>
      <c r="N100" s="93">
        <f t="shared" si="17"/>
        <v>0</v>
      </c>
      <c r="O100" s="93">
        <f t="shared" si="18"/>
        <v>0</v>
      </c>
      <c r="P100" s="93">
        <f t="shared" si="14"/>
        <v>735.75</v>
      </c>
      <c r="Q100" s="94"/>
      <c r="S100" s="69">
        <v>12</v>
      </c>
      <c r="T100" s="86">
        <v>4723.8531446940988</v>
      </c>
      <c r="U100" s="87">
        <v>-1081.296999841235</v>
      </c>
      <c r="V100" s="87">
        <v>247.85961767005278</v>
      </c>
      <c r="W100" s="87">
        <v>-196.94888839159012</v>
      </c>
      <c r="X100" s="87">
        <v>-3895.7778654200779</v>
      </c>
      <c r="Y100" s="88">
        <v>-14.799745083115226</v>
      </c>
      <c r="Z100" s="79">
        <v>0</v>
      </c>
    </row>
    <row r="101" spans="1:26" x14ac:dyDescent="0.2">
      <c r="A101" s="64">
        <v>13</v>
      </c>
      <c r="B101" s="110" t="s">
        <v>48</v>
      </c>
      <c r="C101" s="111" t="s">
        <v>54</v>
      </c>
      <c r="D101" s="112">
        <v>-1.9</v>
      </c>
      <c r="E101" s="112">
        <v>0</v>
      </c>
      <c r="F101" s="113"/>
      <c r="G101" s="114"/>
      <c r="H101" s="114"/>
      <c r="I101" s="114">
        <f t="shared" si="11"/>
        <v>0</v>
      </c>
      <c r="J101" s="114">
        <f t="shared" si="12"/>
        <v>-1089.721062992126</v>
      </c>
      <c r="K101" s="114">
        <f t="shared" si="13"/>
        <v>6.4862204724409442E-2</v>
      </c>
      <c r="L101" s="114">
        <f t="shared" si="15"/>
        <v>-5591.7000000000007</v>
      </c>
      <c r="M101" s="114">
        <f t="shared" si="16"/>
        <v>0</v>
      </c>
      <c r="N101" s="114">
        <f t="shared" si="17"/>
        <v>-362.68999015748034</v>
      </c>
      <c r="O101" s="114">
        <f t="shared" si="18"/>
        <v>0</v>
      </c>
      <c r="P101" s="114">
        <f t="shared" si="14"/>
        <v>190.889468503937</v>
      </c>
      <c r="Q101" s="115"/>
      <c r="S101" s="69">
        <v>13</v>
      </c>
      <c r="T101" s="95">
        <v>2220.8767692103493</v>
      </c>
      <c r="U101" s="96">
        <v>-1358.5711946541478</v>
      </c>
      <c r="V101" s="96">
        <v>-1693.4199210541321</v>
      </c>
      <c r="W101" s="96">
        <v>1601.4604790437925</v>
      </c>
      <c r="X101" s="96">
        <v>-889.03794633116877</v>
      </c>
      <c r="Y101" s="97">
        <v>99.335188083787671</v>
      </c>
      <c r="Z101" s="79">
        <v>0</v>
      </c>
    </row>
    <row r="102" spans="1:26" x14ac:dyDescent="0.2">
      <c r="A102" s="64">
        <v>14</v>
      </c>
      <c r="B102" s="89" t="s">
        <v>49</v>
      </c>
      <c r="C102" s="90" t="s">
        <v>54</v>
      </c>
      <c r="D102" s="91">
        <v>0</v>
      </c>
      <c r="E102" s="91">
        <v>2.75</v>
      </c>
      <c r="F102" s="92"/>
      <c r="G102" s="93"/>
      <c r="H102" s="93"/>
      <c r="I102" s="93">
        <f t="shared" si="11"/>
        <v>1971.8582854799013</v>
      </c>
      <c r="J102" s="93">
        <f t="shared" si="12"/>
        <v>0</v>
      </c>
      <c r="K102" s="93">
        <f t="shared" si="13"/>
        <v>0.58500820344544713</v>
      </c>
      <c r="L102" s="93">
        <f t="shared" si="15"/>
        <v>0</v>
      </c>
      <c r="M102" s="93">
        <f t="shared" si="16"/>
        <v>8093.25</v>
      </c>
      <c r="N102" s="93">
        <f t="shared" si="17"/>
        <v>0</v>
      </c>
      <c r="O102" s="93">
        <f t="shared" si="18"/>
        <v>4734.6176425348649</v>
      </c>
      <c r="P102" s="93">
        <f t="shared" si="14"/>
        <v>1721.6791427399507</v>
      </c>
      <c r="Q102" s="94"/>
      <c r="S102" s="69">
        <v>14</v>
      </c>
      <c r="T102" s="95">
        <v>12232.354022860422</v>
      </c>
      <c r="U102" s="96">
        <v>2166.8771182009696</v>
      </c>
      <c r="V102" s="96">
        <v>-4156.671641112508</v>
      </c>
      <c r="W102" s="96">
        <v>-6763.9893142935025</v>
      </c>
      <c r="X102" s="96">
        <v>-9286.1490203641188</v>
      </c>
      <c r="Y102" s="97">
        <v>320.56373583246227</v>
      </c>
      <c r="Z102" s="79">
        <v>0</v>
      </c>
    </row>
    <row r="103" spans="1:26" x14ac:dyDescent="0.2">
      <c r="A103" s="64">
        <v>15</v>
      </c>
      <c r="B103" s="89" t="s">
        <v>50</v>
      </c>
      <c r="C103" s="90" t="s">
        <v>54</v>
      </c>
      <c r="D103" s="91">
        <v>0</v>
      </c>
      <c r="E103" s="91">
        <v>0</v>
      </c>
      <c r="F103" s="92"/>
      <c r="G103" s="93"/>
      <c r="H103" s="93"/>
      <c r="I103" s="93">
        <f t="shared" si="11"/>
        <v>0</v>
      </c>
      <c r="J103" s="93">
        <f t="shared" si="12"/>
        <v>0</v>
      </c>
      <c r="K103" s="93">
        <f t="shared" si="13"/>
        <v>0.25</v>
      </c>
      <c r="L103" s="93">
        <f t="shared" si="15"/>
        <v>0</v>
      </c>
      <c r="M103" s="93">
        <f t="shared" si="16"/>
        <v>0</v>
      </c>
      <c r="N103" s="93">
        <f t="shared" si="17"/>
        <v>0</v>
      </c>
      <c r="O103" s="93">
        <f t="shared" si="18"/>
        <v>0</v>
      </c>
      <c r="P103" s="93">
        <f t="shared" si="14"/>
        <v>735.75</v>
      </c>
      <c r="Q103" s="94"/>
      <c r="S103" s="69">
        <v>15</v>
      </c>
      <c r="T103" s="95">
        <v>4723.8531446940988</v>
      </c>
      <c r="U103" s="96">
        <v>-1081.296999841235</v>
      </c>
      <c r="V103" s="96">
        <v>247.85961767005278</v>
      </c>
      <c r="W103" s="96">
        <v>-196.94888839159012</v>
      </c>
      <c r="X103" s="96">
        <v>-3895.7778654200779</v>
      </c>
      <c r="Y103" s="97">
        <v>-14.799745083115226</v>
      </c>
      <c r="Z103" s="79">
        <v>0</v>
      </c>
    </row>
    <row r="104" spans="1:26" x14ac:dyDescent="0.2">
      <c r="A104" s="64">
        <v>16</v>
      </c>
      <c r="B104" s="98" t="s">
        <v>51</v>
      </c>
      <c r="C104" s="90" t="s">
        <v>54</v>
      </c>
      <c r="D104" s="91">
        <v>1.5</v>
      </c>
      <c r="E104" s="91">
        <v>0</v>
      </c>
      <c r="F104" s="92"/>
      <c r="G104" s="93"/>
      <c r="H104" s="93"/>
      <c r="I104" s="93">
        <f t="shared" si="11"/>
        <v>0</v>
      </c>
      <c r="J104" s="93">
        <f t="shared" si="12"/>
        <v>860.30610236220468</v>
      </c>
      <c r="K104" s="93">
        <f t="shared" si="13"/>
        <v>0.39616141732283466</v>
      </c>
      <c r="L104" s="93">
        <f t="shared" si="15"/>
        <v>4414.5</v>
      </c>
      <c r="M104" s="93">
        <f t="shared" si="16"/>
        <v>0</v>
      </c>
      <c r="N104" s="93">
        <f t="shared" si="17"/>
        <v>1748.8545767716537</v>
      </c>
      <c r="O104" s="93">
        <f t="shared" si="18"/>
        <v>0</v>
      </c>
      <c r="P104" s="93">
        <f t="shared" si="14"/>
        <v>1165.9030511811025</v>
      </c>
      <c r="Q104" s="94"/>
      <c r="S104" s="69">
        <v>16</v>
      </c>
      <c r="T104" s="95">
        <v>2686.500091774456</v>
      </c>
      <c r="U104" s="96">
        <v>3484.6792286586333</v>
      </c>
      <c r="V104" s="96">
        <v>8868.3511663351255</v>
      </c>
      <c r="W104" s="96">
        <v>-8280.5653810449985</v>
      </c>
      <c r="X104" s="96">
        <v>-6760.3347232389287</v>
      </c>
      <c r="Y104" s="97">
        <v>-520.9516315316705</v>
      </c>
      <c r="Z104" s="79">
        <v>0</v>
      </c>
    </row>
    <row r="105" spans="1:26" x14ac:dyDescent="0.2">
      <c r="A105" s="64">
        <v>17</v>
      </c>
      <c r="B105" s="98" t="s">
        <v>52</v>
      </c>
      <c r="C105" s="90" t="s">
        <v>54</v>
      </c>
      <c r="D105" s="91">
        <v>-0.5</v>
      </c>
      <c r="E105" s="91">
        <v>2.5</v>
      </c>
      <c r="F105" s="92"/>
      <c r="G105" s="93"/>
      <c r="H105" s="93"/>
      <c r="I105" s="93">
        <f t="shared" si="11"/>
        <v>1792.5984413453648</v>
      </c>
      <c r="J105" s="93">
        <f t="shared" si="12"/>
        <v>-286.76870078740154</v>
      </c>
      <c r="K105" s="93">
        <f t="shared" si="13"/>
        <v>0.50583243978218884</v>
      </c>
      <c r="L105" s="93">
        <f t="shared" si="15"/>
        <v>-1471.5</v>
      </c>
      <c r="M105" s="93">
        <f t="shared" si="16"/>
        <v>7357.5</v>
      </c>
      <c r="N105" s="93">
        <f t="shared" si="17"/>
        <v>-744.33243513949083</v>
      </c>
      <c r="O105" s="93">
        <f t="shared" si="18"/>
        <v>3721.6621756974546</v>
      </c>
      <c r="P105" s="93">
        <f t="shared" si="14"/>
        <v>1488.6648702789817</v>
      </c>
      <c r="Q105" s="94"/>
      <c r="S105" s="69">
        <v>17</v>
      </c>
      <c r="T105" s="95">
        <v>12526.750140947648</v>
      </c>
      <c r="U105" s="96">
        <v>-708.00434407141302</v>
      </c>
      <c r="V105" s="96">
        <v>-6829.0787632673473</v>
      </c>
      <c r="W105" s="96">
        <v>-1961.6110920909491</v>
      </c>
      <c r="X105" s="96">
        <v>-7766.2001368749234</v>
      </c>
      <c r="Y105" s="97">
        <v>460.99931714436752</v>
      </c>
      <c r="Z105" s="79">
        <v>0</v>
      </c>
    </row>
    <row r="106" spans="1:26" x14ac:dyDescent="0.2">
      <c r="A106" s="64">
        <v>18</v>
      </c>
      <c r="B106" s="98" t="s">
        <v>53</v>
      </c>
      <c r="C106" s="90" t="s">
        <v>54</v>
      </c>
      <c r="D106" s="91">
        <v>0.2</v>
      </c>
      <c r="E106" s="91">
        <v>2.2000000000000002</v>
      </c>
      <c r="F106" s="92"/>
      <c r="G106" s="93"/>
      <c r="H106" s="93"/>
      <c r="I106" s="93">
        <f t="shared" si="11"/>
        <v>1577.4866283839212</v>
      </c>
      <c r="J106" s="93">
        <f t="shared" si="12"/>
        <v>114.70748031496063</v>
      </c>
      <c r="K106" s="93">
        <f t="shared" si="13"/>
        <v>0.53749475173273564</v>
      </c>
      <c r="L106" s="93">
        <f t="shared" si="15"/>
        <v>588.6</v>
      </c>
      <c r="M106" s="93">
        <f t="shared" si="16"/>
        <v>6474.6</v>
      </c>
      <c r="N106" s="93">
        <f t="shared" si="17"/>
        <v>316.36941086988821</v>
      </c>
      <c r="O106" s="93">
        <f t="shared" si="18"/>
        <v>3480.0635195687705</v>
      </c>
      <c r="P106" s="93">
        <f t="shared" si="14"/>
        <v>1581.8470543494409</v>
      </c>
      <c r="Q106" s="94"/>
      <c r="S106" s="69">
        <v>18</v>
      </c>
      <c r="T106" s="95">
        <v>10154.158440215178</v>
      </c>
      <c r="U106" s="96">
        <v>2068.1067032733908</v>
      </c>
      <c r="V106" s="96">
        <v>-1415.4394862454637</v>
      </c>
      <c r="W106" s="96">
        <v>-6497.8939444511288</v>
      </c>
      <c r="X106" s="96">
        <v>-8606.8941922912963</v>
      </c>
      <c r="Y106" s="97">
        <v>139.2605321098456</v>
      </c>
      <c r="Z106" s="79">
        <v>0</v>
      </c>
    </row>
    <row r="107" spans="1:26" x14ac:dyDescent="0.2">
      <c r="A107" s="64">
        <v>19</v>
      </c>
      <c r="B107" s="98" t="s">
        <v>55</v>
      </c>
      <c r="C107" s="90" t="s">
        <v>54</v>
      </c>
      <c r="D107" s="91">
        <v>0</v>
      </c>
      <c r="E107" s="91">
        <v>0</v>
      </c>
      <c r="F107" s="92"/>
      <c r="G107" s="93"/>
      <c r="H107" s="93"/>
      <c r="I107" s="93">
        <f t="shared" si="11"/>
        <v>0</v>
      </c>
      <c r="J107" s="93">
        <f t="shared" si="12"/>
        <v>0</v>
      </c>
      <c r="K107" s="93">
        <f t="shared" si="13"/>
        <v>0.75</v>
      </c>
      <c r="L107" s="93">
        <f t="shared" si="15"/>
        <v>0</v>
      </c>
      <c r="M107" s="93">
        <f t="shared" si="16"/>
        <v>0</v>
      </c>
      <c r="N107" s="93">
        <f t="shared" si="17"/>
        <v>0</v>
      </c>
      <c r="O107" s="93">
        <f t="shared" si="18"/>
        <v>0</v>
      </c>
      <c r="P107" s="93">
        <f>C80*E84*3/4</f>
        <v>2207.25</v>
      </c>
      <c r="Q107" s="94"/>
      <c r="S107" s="69">
        <v>19</v>
      </c>
      <c r="T107" s="95">
        <v>14171.559434082297</v>
      </c>
      <c r="U107" s="96">
        <v>-3243.8909995237045</v>
      </c>
      <c r="V107" s="96">
        <v>743.57885301015813</v>
      </c>
      <c r="W107" s="96">
        <v>-590.84666517476944</v>
      </c>
      <c r="X107" s="96">
        <v>-11687.333596260234</v>
      </c>
      <c r="Y107" s="97">
        <v>-44.399235249345793</v>
      </c>
      <c r="Z107" s="79">
        <v>0</v>
      </c>
    </row>
    <row r="108" spans="1:26" x14ac:dyDescent="0.2">
      <c r="A108" s="64">
        <v>20</v>
      </c>
      <c r="B108" s="98"/>
      <c r="C108" s="90" t="s">
        <v>54</v>
      </c>
      <c r="D108" s="91"/>
      <c r="E108" s="91"/>
      <c r="F108" s="92"/>
      <c r="G108" s="106"/>
      <c r="H108" s="106"/>
      <c r="I108" s="93">
        <f t="shared" si="11"/>
        <v>0</v>
      </c>
      <c r="J108" s="93">
        <f t="shared" si="12"/>
        <v>0</v>
      </c>
      <c r="K108" s="93">
        <f t="shared" si="13"/>
        <v>0.25</v>
      </c>
      <c r="L108" s="106">
        <f t="shared" si="15"/>
        <v>0</v>
      </c>
      <c r="M108" s="93">
        <f t="shared" si="16"/>
        <v>0</v>
      </c>
      <c r="N108" s="93">
        <f t="shared" si="17"/>
        <v>0</v>
      </c>
      <c r="O108" s="93">
        <f t="shared" si="18"/>
        <v>0</v>
      </c>
      <c r="P108" s="93">
        <f t="shared" si="14"/>
        <v>735.75</v>
      </c>
      <c r="Q108" s="94"/>
      <c r="S108" s="69">
        <v>20</v>
      </c>
      <c r="T108" s="95">
        <v>4723.8531446940988</v>
      </c>
      <c r="U108" s="96">
        <v>-1081.296999841235</v>
      </c>
      <c r="V108" s="96">
        <v>247.85961767005278</v>
      </c>
      <c r="W108" s="96">
        <v>-196.94888839159012</v>
      </c>
      <c r="X108" s="96">
        <v>-3895.7778654200779</v>
      </c>
      <c r="Y108" s="97">
        <v>-14.799745083115226</v>
      </c>
      <c r="Z108" s="79">
        <v>0</v>
      </c>
    </row>
    <row r="109" spans="1:26" x14ac:dyDescent="0.2">
      <c r="A109" s="64">
        <v>21</v>
      </c>
      <c r="B109" s="89" t="s">
        <v>56</v>
      </c>
      <c r="C109" s="90" t="s">
        <v>54</v>
      </c>
      <c r="D109" s="91">
        <v>0</v>
      </c>
      <c r="E109" s="91">
        <v>-2</v>
      </c>
      <c r="F109" s="92"/>
      <c r="G109" s="106"/>
      <c r="H109" s="106"/>
      <c r="I109" s="93">
        <f>0</f>
        <v>0</v>
      </c>
      <c r="J109" s="93">
        <f t="shared" si="12"/>
        <v>0</v>
      </c>
      <c r="K109" s="93">
        <f t="shared" si="13"/>
        <v>0.25</v>
      </c>
      <c r="L109" s="106">
        <f t="shared" si="15"/>
        <v>0</v>
      </c>
      <c r="M109" s="93">
        <f t="shared" si="16"/>
        <v>-5886</v>
      </c>
      <c r="N109" s="93">
        <f t="shared" si="17"/>
        <v>0</v>
      </c>
      <c r="O109" s="93">
        <f t="shared" si="18"/>
        <v>-1471.5</v>
      </c>
      <c r="P109" s="93">
        <f t="shared" si="14"/>
        <v>735.75</v>
      </c>
      <c r="Q109" s="94"/>
      <c r="S109" s="69">
        <v>21</v>
      </c>
      <c r="T109" s="95">
        <v>4357.6165844513935</v>
      </c>
      <c r="U109" s="96">
        <v>-2541.1514558390941</v>
      </c>
      <c r="V109" s="96">
        <v>1719.9978797801566</v>
      </c>
      <c r="W109" s="96">
        <v>1762.0360581431619</v>
      </c>
      <c r="X109" s="96">
        <v>-3842.9733284842255</v>
      </c>
      <c r="Y109" s="97">
        <v>-125.19310767206787</v>
      </c>
      <c r="Z109" s="79">
        <v>0</v>
      </c>
    </row>
    <row r="110" spans="1:26" ht="16" thickBot="1" x14ac:dyDescent="0.25">
      <c r="A110" s="64">
        <v>22</v>
      </c>
      <c r="B110" s="116" t="s">
        <v>57</v>
      </c>
      <c r="C110" s="107" t="s">
        <v>54</v>
      </c>
      <c r="D110" s="108">
        <v>1.75</v>
      </c>
      <c r="E110" s="108">
        <v>0</v>
      </c>
      <c r="F110" s="109"/>
      <c r="G110" s="117"/>
      <c r="H110" s="117"/>
      <c r="I110" s="118">
        <f t="shared" si="11"/>
        <v>0</v>
      </c>
      <c r="J110" s="118">
        <f t="shared" si="12"/>
        <v>1003.6904527559054</v>
      </c>
      <c r="K110" s="118">
        <f t="shared" si="13"/>
        <v>0.42052165354330706</v>
      </c>
      <c r="L110" s="117">
        <f t="shared" si="15"/>
        <v>5150.25</v>
      </c>
      <c r="M110" s="118">
        <f t="shared" si="16"/>
        <v>0</v>
      </c>
      <c r="N110" s="118">
        <f t="shared" si="17"/>
        <v>2165.7916461614172</v>
      </c>
      <c r="O110" s="118">
        <f t="shared" si="18"/>
        <v>0</v>
      </c>
      <c r="P110" s="118">
        <f t="shared" si="14"/>
        <v>1237.5952263779527</v>
      </c>
      <c r="Q110" s="119"/>
      <c r="S110" s="69">
        <v>22</v>
      </c>
      <c r="T110" s="95">
        <v>2002.655597232053</v>
      </c>
      <c r="U110" s="96">
        <v>4618.5861593729605</v>
      </c>
      <c r="V110" s="96">
        <v>10913.130604274667</v>
      </c>
      <c r="W110" s="96">
        <v>-10199.485989690396</v>
      </c>
      <c r="X110" s="96">
        <v>-7279.8650784027323</v>
      </c>
      <c r="Y110" s="97">
        <v>-641.00044498203351</v>
      </c>
      <c r="Z110" s="79">
        <v>0</v>
      </c>
    </row>
    <row r="111" spans="1:26" x14ac:dyDescent="0.2">
      <c r="I111" s="82"/>
      <c r="J111" s="84"/>
      <c r="K111" s="84"/>
      <c r="M111" s="84"/>
      <c r="R111" s="120" t="s">
        <v>64</v>
      </c>
      <c r="S111" s="65" t="s">
        <v>65</v>
      </c>
      <c r="T111" s="121">
        <f>MIN(T89:T100)</f>
        <v>68.042439269443562</v>
      </c>
      <c r="U111" s="121">
        <f t="shared" ref="U111:Y111" si="19">MIN(U89:U100)</f>
        <v>-2785.7853345692083</v>
      </c>
      <c r="V111" s="121">
        <f t="shared" si="19"/>
        <v>-4449.2618347767839</v>
      </c>
      <c r="W111" s="121">
        <f t="shared" si="19"/>
        <v>-4932.7109007854815</v>
      </c>
      <c r="X111" s="121">
        <f t="shared" si="19"/>
        <v>-7796.7496656855819</v>
      </c>
      <c r="Y111" s="121">
        <f t="shared" si="19"/>
        <v>-311.4455752386084</v>
      </c>
      <c r="Z111" s="65" t="s">
        <v>66</v>
      </c>
    </row>
    <row r="112" spans="1:26" x14ac:dyDescent="0.2">
      <c r="I112" s="82"/>
      <c r="J112" s="84"/>
      <c r="K112" s="84"/>
      <c r="R112" s="122"/>
      <c r="S112" s="65" t="s">
        <v>67</v>
      </c>
      <c r="T112" s="123">
        <f>MAX(T89:T110,0)</f>
        <v>14171.559434082297</v>
      </c>
      <c r="U112" s="123">
        <f t="shared" ref="U112:Y112" si="20">MAX(U89:U110,0)</f>
        <v>4618.5861593729605</v>
      </c>
      <c r="V112" s="123">
        <f t="shared" si="20"/>
        <v>10913.130604274667</v>
      </c>
      <c r="W112" s="123">
        <f t="shared" si="20"/>
        <v>2388.1240086315352</v>
      </c>
      <c r="X112" s="123">
        <f t="shared" si="20"/>
        <v>0</v>
      </c>
      <c r="Y112" s="123">
        <f t="shared" si="20"/>
        <v>460.99931714436752</v>
      </c>
      <c r="Z112" s="65" t="s">
        <v>66</v>
      </c>
    </row>
    <row r="113" spans="17:26" x14ac:dyDescent="0.2">
      <c r="R113" s="122"/>
      <c r="S113" s="65" t="s">
        <v>100</v>
      </c>
      <c r="T113" s="123">
        <f>MAX(T90:T111,0)</f>
        <v>14171.559434082297</v>
      </c>
      <c r="U113" s="123">
        <f t="shared" ref="U113:Y113" si="21">MAX(U90:U111,0)</f>
        <v>4618.5861593729605</v>
      </c>
      <c r="V113" s="123">
        <f t="shared" si="21"/>
        <v>10913.130604274667</v>
      </c>
      <c r="W113" s="123">
        <f t="shared" si="21"/>
        <v>2388.1240086315352</v>
      </c>
      <c r="X113" s="123">
        <f t="shared" si="21"/>
        <v>0</v>
      </c>
      <c r="Y113" s="123">
        <f t="shared" si="21"/>
        <v>460.99931714436752</v>
      </c>
      <c r="Z113" s="65" t="s">
        <v>66</v>
      </c>
    </row>
    <row r="114" spans="17:26" ht="16" thickBot="1" x14ac:dyDescent="0.25">
      <c r="R114" s="122"/>
      <c r="S114" s="124" t="s">
        <v>68</v>
      </c>
      <c r="T114" s="125">
        <f>MIN(T89:T110,0)</f>
        <v>0</v>
      </c>
      <c r="U114" s="125">
        <f t="shared" ref="U114:X114" si="22">MIN(U89:U110,0)</f>
        <v>-3243.8909995237045</v>
      </c>
      <c r="V114" s="125">
        <f t="shared" si="22"/>
        <v>-6829.0787632673473</v>
      </c>
      <c r="W114" s="125">
        <f t="shared" si="22"/>
        <v>-10199.485989690396</v>
      </c>
      <c r="X114" s="125">
        <f t="shared" si="22"/>
        <v>-11687.333596260234</v>
      </c>
      <c r="Y114" s="125">
        <f>MIN(Y89:Y110,0)</f>
        <v>-641.00044498203351</v>
      </c>
      <c r="Z114" s="65" t="s">
        <v>66</v>
      </c>
    </row>
    <row r="115" spans="17:26" x14ac:dyDescent="0.2">
      <c r="R115" s="120" t="s">
        <v>69</v>
      </c>
      <c r="S115" s="126" t="s">
        <v>70</v>
      </c>
      <c r="T115" s="1">
        <v>0.5</v>
      </c>
      <c r="U115" s="2">
        <v>0.5</v>
      </c>
      <c r="V115" s="2">
        <v>0.625</v>
      </c>
      <c r="W115" s="2">
        <v>0.625</v>
      </c>
      <c r="X115" s="2">
        <v>0.5</v>
      </c>
      <c r="Y115" s="3">
        <v>0.5</v>
      </c>
      <c r="Z115" s="65" t="s">
        <v>71</v>
      </c>
    </row>
    <row r="116" spans="17:26" x14ac:dyDescent="0.2">
      <c r="Q116" s="122"/>
      <c r="S116" s="126" t="s">
        <v>72</v>
      </c>
      <c r="T116" s="1">
        <v>6.5000000000000002E-2</v>
      </c>
      <c r="U116" s="2">
        <v>6.5000000000000002E-2</v>
      </c>
      <c r="V116" s="2">
        <v>6.5000000000000002E-2</v>
      </c>
      <c r="W116" s="2">
        <v>6.5000000000000002E-2</v>
      </c>
      <c r="X116" s="2">
        <v>6.5000000000000002E-2</v>
      </c>
      <c r="Y116" s="2">
        <v>6.5000000000000002E-2</v>
      </c>
      <c r="Z116" s="65" t="s">
        <v>71</v>
      </c>
    </row>
    <row r="117" spans="17:26" x14ac:dyDescent="0.2">
      <c r="S117" s="126" t="s">
        <v>73</v>
      </c>
      <c r="T117" s="4"/>
      <c r="X117" s="6"/>
      <c r="Y117" s="65" t="s">
        <v>15</v>
      </c>
    </row>
    <row r="119" spans="17:26" x14ac:dyDescent="0.2">
      <c r="S119" s="122" t="s">
        <v>89</v>
      </c>
    </row>
    <row r="121" spans="17:26" x14ac:dyDescent="0.2">
      <c r="S121" s="122" t="s">
        <v>92</v>
      </c>
    </row>
    <row r="122" spans="17:26" x14ac:dyDescent="0.2">
      <c r="S122" s="122" t="s">
        <v>91</v>
      </c>
    </row>
    <row r="123" spans="17:26" x14ac:dyDescent="0.2">
      <c r="S123" s="122" t="s">
        <v>93</v>
      </c>
    </row>
    <row r="124" spans="17:26" x14ac:dyDescent="0.2">
      <c r="S124" s="122" t="s">
        <v>90</v>
      </c>
    </row>
  </sheetData>
  <conditionalFormatting sqref="T88:Y91">
    <cfRule type="expression" dxfId="9" priority="1">
      <formula>T88&lt;#REF!</formula>
    </cfRule>
  </conditionalFormatting>
  <conditionalFormatting sqref="T92:Y110">
    <cfRule type="expression" dxfId="8" priority="2">
      <formula>OR(T92&gt;#REF!,T92&lt;#REF!)</formula>
    </cfRule>
  </conditionalFormatting>
  <dataValidations disablePrompts="1" count="1">
    <dataValidation type="list" allowBlank="1" showInputMessage="1" showErrorMessage="1" sqref="T115:Y115" xr:uid="{895B1510-6C32-4616-8008-847B1296BAED}">
      <formula1>Outer_Diameter</formula1>
    </dataValidation>
  </dataValidations>
  <pageMargins left="0.7" right="0.7" top="0.75" bottom="0.75" header="0.3" footer="0.3"/>
  <pageSetup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7ED59-959D-416D-95DB-A9F6C062F847}">
  <dimension ref="B1:H29"/>
  <sheetViews>
    <sheetView topLeftCell="A8" zoomScale="146" workbookViewId="0">
      <selection activeCell="H21" sqref="H21"/>
    </sheetView>
  </sheetViews>
  <sheetFormatPr baseColWidth="10" defaultColWidth="8.83203125" defaultRowHeight="15" x14ac:dyDescent="0.2"/>
  <cols>
    <col min="2" max="2" width="19.83203125" customWidth="1"/>
    <col min="3" max="3" width="18.5" customWidth="1"/>
    <col min="4" max="4" width="21.6640625" customWidth="1"/>
    <col min="5" max="5" width="17.33203125" customWidth="1"/>
    <col min="6" max="6" width="14.6640625" customWidth="1"/>
    <col min="7" max="7" width="17.1640625" customWidth="1"/>
    <col min="8" max="8" width="18.33203125" customWidth="1"/>
    <col min="10" max="10" width="15.33203125" customWidth="1"/>
    <col min="11" max="11" width="12.5" bestFit="1" customWidth="1"/>
  </cols>
  <sheetData>
    <row r="1" spans="2:8" ht="16" customHeight="1" thickBot="1" x14ac:dyDescent="0.25"/>
    <row r="2" spans="2:8" ht="17" thickBot="1" x14ac:dyDescent="0.25">
      <c r="B2" s="136" t="s">
        <v>116</v>
      </c>
      <c r="C2" s="137" t="s">
        <v>105</v>
      </c>
    </row>
    <row r="3" spans="2:8" ht="18" customHeight="1" x14ac:dyDescent="0.2"/>
    <row r="4" spans="2:8" ht="16" x14ac:dyDescent="0.2">
      <c r="B4" s="128" t="str">
        <f t="shared" ref="B4:H4" si="0">$C$2</f>
        <v>STEEL</v>
      </c>
      <c r="C4" s="128" t="str">
        <f t="shared" si="0"/>
        <v>STEEL</v>
      </c>
      <c r="D4" s="128" t="str">
        <f t="shared" si="0"/>
        <v>STEEL</v>
      </c>
      <c r="E4" s="128" t="str">
        <f t="shared" si="0"/>
        <v>STEEL</v>
      </c>
      <c r="F4" s="128" t="str">
        <f t="shared" si="0"/>
        <v>STEEL</v>
      </c>
      <c r="G4" s="128" t="str">
        <f t="shared" si="0"/>
        <v>STEEL</v>
      </c>
      <c r="H4" s="128" t="str">
        <f t="shared" si="0"/>
        <v>STEEL</v>
      </c>
    </row>
    <row r="5" spans="2:8" ht="33" customHeight="1" x14ac:dyDescent="0.2">
      <c r="B5" s="129" t="s">
        <v>113</v>
      </c>
      <c r="C5" s="130" t="s">
        <v>114</v>
      </c>
      <c r="D5" s="129" t="s">
        <v>106</v>
      </c>
      <c r="E5" s="130" t="s">
        <v>107</v>
      </c>
      <c r="F5" s="130" t="s">
        <v>123</v>
      </c>
      <c r="G5" s="130" t="s">
        <v>112</v>
      </c>
      <c r="H5" s="130" t="s">
        <v>115</v>
      </c>
    </row>
    <row r="6" spans="2:8" x14ac:dyDescent="0.2">
      <c r="B6" s="131">
        <v>0.55000000000000004</v>
      </c>
      <c r="C6" s="132">
        <f>B6*0.0254</f>
        <v>1.397E-2</v>
      </c>
      <c r="D6" s="131">
        <v>0.06</v>
      </c>
      <c r="E6" s="132">
        <f>D6*0.0254</f>
        <v>1.524E-3</v>
      </c>
      <c r="F6" s="132">
        <f>C6-E6</f>
        <v>1.2446E-2</v>
      </c>
      <c r="G6" s="132">
        <f>H10/4*(C6^4-F6^4)</f>
        <v>1.1068182674066768E-8</v>
      </c>
      <c r="H6" s="132">
        <f>H10*(C6^2-F6^2)</f>
        <v>1.2647045673600001E-4</v>
      </c>
    </row>
    <row r="8" spans="2:8" ht="16" x14ac:dyDescent="0.2">
      <c r="B8" s="128" t="str">
        <f>$C$2</f>
        <v>STEEL</v>
      </c>
      <c r="C8" s="128" t="str">
        <f>$C$2</f>
        <v>STEEL</v>
      </c>
      <c r="D8" s="128" t="str">
        <f>$C$2</f>
        <v>STEEL</v>
      </c>
      <c r="E8" s="128" t="str">
        <f t="shared" ref="E8:F8" si="1">$C$2</f>
        <v>STEEL</v>
      </c>
      <c r="F8" s="128" t="str">
        <f t="shared" si="1"/>
        <v>STEEL</v>
      </c>
      <c r="G8" s="128" t="str">
        <f>$C$2</f>
        <v>STEEL</v>
      </c>
      <c r="H8" s="128" t="str">
        <f>$C$2</f>
        <v>STEEL</v>
      </c>
    </row>
    <row r="9" spans="2:8" ht="35" customHeight="1" x14ac:dyDescent="0.2">
      <c r="B9" s="129" t="s">
        <v>111</v>
      </c>
      <c r="C9" s="129" t="s">
        <v>109</v>
      </c>
      <c r="D9" s="129" t="s">
        <v>110</v>
      </c>
      <c r="E9" s="129" t="s">
        <v>134</v>
      </c>
      <c r="F9" s="130" t="s">
        <v>135</v>
      </c>
      <c r="G9" s="130" t="s">
        <v>139</v>
      </c>
      <c r="H9" s="130" t="s">
        <v>108</v>
      </c>
    </row>
    <row r="10" spans="2:8" x14ac:dyDescent="0.2">
      <c r="B10" s="131">
        <v>205000000000</v>
      </c>
      <c r="C10" s="135">
        <v>360000000</v>
      </c>
      <c r="D10" s="131">
        <v>1.5</v>
      </c>
      <c r="E10" s="131">
        <v>1</v>
      </c>
      <c r="F10" s="132">
        <f>E10*0.0254</f>
        <v>2.5399999999999999E-2</v>
      </c>
      <c r="G10" s="132">
        <v>8050</v>
      </c>
      <c r="H10" s="132">
        <v>3.1415000000000002</v>
      </c>
    </row>
    <row r="12" spans="2:8" ht="37.5" customHeight="1" x14ac:dyDescent="0.2">
      <c r="B12" s="138" t="s">
        <v>119</v>
      </c>
      <c r="C12" s="138" t="s">
        <v>117</v>
      </c>
      <c r="D12" s="138" t="s">
        <v>118</v>
      </c>
      <c r="E12" s="138" t="s">
        <v>122</v>
      </c>
      <c r="F12" s="138" t="s">
        <v>121</v>
      </c>
      <c r="G12" s="138" t="s">
        <v>125</v>
      </c>
      <c r="H12" s="138" t="s">
        <v>127</v>
      </c>
    </row>
    <row r="13" spans="2:8" ht="16" x14ac:dyDescent="0.2">
      <c r="B13" s="133" t="s">
        <v>9</v>
      </c>
      <c r="C13" s="134" cm="1">
        <f t="array" ref="C13:C17">TRANSPOSE('Front Tires Force Calculations'!T114:X114)*-1</f>
        <v>0</v>
      </c>
      <c r="D13" s="134" cm="1">
        <f t="array" ref="D13:D17">TRANSPOSE('Front Tires Force Calculations'!T113:X113)</f>
        <v>14171.559434082297</v>
      </c>
      <c r="E13" s="134">
        <f>ABS(('Front Tires Force Calculations'!C5-'Front Tires Force Calculations'!C12)/'Front Tires Force Calculations'!C25)</f>
        <v>381.92804828497179</v>
      </c>
      <c r="F13" s="134" cm="1">
        <f t="array" ref="F13:F17">E13:E17/1000</f>
        <v>0.38192804828497179</v>
      </c>
      <c r="G13" s="134">
        <f>ACOS(SUMPRODUCT('Front Tires Force Calculations'!C25:E25,'Front Tires Force Calculations'!$C$29:$E$29))</f>
        <v>0.22816878093262338</v>
      </c>
      <c r="H13" s="134">
        <f>(SIN(G13)*$C$17*$F$10)/F13</f>
        <v>175.8121820847818</v>
      </c>
    </row>
    <row r="14" spans="2:8" ht="16" x14ac:dyDescent="0.2">
      <c r="B14" s="133" t="s">
        <v>10</v>
      </c>
      <c r="C14" s="134">
        <v>3243.8909995237045</v>
      </c>
      <c r="D14" s="134">
        <v>4618.5861593729605</v>
      </c>
      <c r="E14" s="134">
        <f>ABS(('Front Tires Force Calculations'!C6-'Front Tires Force Calculations'!C13)/'Front Tires Force Calculations'!C26)</f>
        <v>362.29687265005168</v>
      </c>
      <c r="F14" s="134">
        <v>0.36229687265005167</v>
      </c>
      <c r="G14" s="134">
        <f>ACOS(SUMPRODUCT('Front Tires Force Calculations'!C26:E26,'Front Tires Force Calculations'!$C$29:$E$29))</f>
        <v>0.54849490306786275</v>
      </c>
      <c r="H14" s="134">
        <f>(SIN(G14)*$C$17*$F$10)/F14</f>
        <v>427.22682970184582</v>
      </c>
    </row>
    <row r="15" spans="2:8" ht="16" x14ac:dyDescent="0.2">
      <c r="B15" s="133" t="s">
        <v>11</v>
      </c>
      <c r="C15" s="134">
        <v>6829.0787632673473</v>
      </c>
      <c r="D15" s="134">
        <v>10913.130604274667</v>
      </c>
      <c r="E15" s="134">
        <f>ABS(('Front Tires Force Calculations'!C7-'Front Tires Force Calculations'!C14)/'Front Tires Force Calculations'!C27)</f>
        <v>455.68096670648868</v>
      </c>
      <c r="F15" s="134">
        <v>0.45568096670648867</v>
      </c>
      <c r="G15" s="134"/>
      <c r="H15" s="134"/>
    </row>
    <row r="16" spans="2:8" ht="16" x14ac:dyDescent="0.2">
      <c r="B16" s="133" t="s">
        <v>12</v>
      </c>
      <c r="C16" s="134">
        <v>10199.485989690396</v>
      </c>
      <c r="D16" s="134">
        <v>2388.1240086315352</v>
      </c>
      <c r="E16" s="134">
        <f>ABS(('Front Tires Force Calculations'!C8-'Front Tires Force Calculations'!C15)/'Front Tires Force Calculations'!C28)</f>
        <v>448.60063217918002</v>
      </c>
      <c r="F16" s="134">
        <v>0.44860063217918</v>
      </c>
      <c r="G16" s="134"/>
      <c r="H16" s="134"/>
    </row>
    <row r="17" spans="2:8" ht="16" x14ac:dyDescent="0.2">
      <c r="B17" s="133" t="s">
        <v>120</v>
      </c>
      <c r="C17" s="134">
        <v>11687.333596260234</v>
      </c>
      <c r="D17" s="134">
        <v>0</v>
      </c>
      <c r="E17" s="134">
        <f>ABS(('Front Tires Force Calculations'!C9-'Front Tires Force Calculations'!C16)/'Front Tires Force Calculations'!C29)</f>
        <v>449.30141507806661</v>
      </c>
      <c r="F17" s="134">
        <v>0.44930141507806659</v>
      </c>
      <c r="G17" s="134">
        <f>ACOS(SUMPRODUCT('Front Tires Force Calculations'!C29:E29,'Front Tires Force Calculations'!$C$29:$E$29))</f>
        <v>0</v>
      </c>
      <c r="H17" s="134"/>
    </row>
    <row r="19" spans="2:8" ht="35" customHeight="1" x14ac:dyDescent="0.2">
      <c r="B19" s="138" t="s">
        <v>126</v>
      </c>
      <c r="C19" s="138" t="s">
        <v>128</v>
      </c>
      <c r="D19" s="138" t="s">
        <v>129</v>
      </c>
      <c r="E19" s="138" t="s">
        <v>131</v>
      </c>
      <c r="F19" s="138" t="s">
        <v>130</v>
      </c>
      <c r="H19" s="140" t="s">
        <v>132</v>
      </c>
    </row>
    <row r="20" spans="2:8" ht="16" x14ac:dyDescent="0.2">
      <c r="B20" s="133" t="s">
        <v>9</v>
      </c>
      <c r="C20" s="139">
        <f>MAX(C13:D13)/$H$6</f>
        <v>112054307.3839342</v>
      </c>
      <c r="D20" s="139">
        <f>(F13*H13*$C$6)/$G$6</f>
        <v>84752126.837220058</v>
      </c>
      <c r="E20" s="139">
        <f>H13/$H$6</f>
        <v>1390144.2805079755</v>
      </c>
      <c r="F20" s="139">
        <f>SQRT(1/2*((D20+C20)^2+(D20+C20)^2)+3*E20^2)</f>
        <v>196821162.61776173</v>
      </c>
      <c r="H20" s="141">
        <f>$C$10/(F20*$D$10)-1</f>
        <v>0.21938107065292622</v>
      </c>
    </row>
    <row r="21" spans="2:8" ht="16" x14ac:dyDescent="0.2">
      <c r="B21" s="133" t="s">
        <v>10</v>
      </c>
      <c r="C21" s="139">
        <f>MAX(C14:D14)/$H$6</f>
        <v>36519091.324339882</v>
      </c>
      <c r="D21" s="139">
        <f>(F14*H14*$C$6)/$G$6</f>
        <v>195363393.94916728</v>
      </c>
      <c r="E21" s="139">
        <f>H14/$H$6</f>
        <v>3378076.1193395378</v>
      </c>
      <c r="F21" s="139">
        <f t="shared" ref="F21:F23" si="2">SQRT(1/2*((D21+C21)^2+(D21+C21)^2)+3*E21^2)</f>
        <v>231956291.51075518</v>
      </c>
      <c r="H21" s="141">
        <f t="shared" ref="H21:H23" si="3">$C$10/(F21*$D$10)-1</f>
        <v>3.4677690511670578E-2</v>
      </c>
    </row>
    <row r="22" spans="2:8" ht="16" x14ac:dyDescent="0.2">
      <c r="B22" s="133" t="s">
        <v>11</v>
      </c>
      <c r="C22" s="139">
        <f>MAX(C15:D15)/$H$6</f>
        <v>86289959.615273744</v>
      </c>
      <c r="D22" s="139"/>
      <c r="E22" s="139"/>
      <c r="F22" s="139">
        <f t="shared" si="2"/>
        <v>86289959.615273744</v>
      </c>
      <c r="H22" s="141">
        <f t="shared" si="3"/>
        <v>1.7813201103586893</v>
      </c>
    </row>
    <row r="23" spans="2:8" ht="16" x14ac:dyDescent="0.2">
      <c r="B23" s="133" t="s">
        <v>12</v>
      </c>
      <c r="C23" s="139">
        <f>MAX(C16:D16)/$H$6</f>
        <v>80647182.376997754</v>
      </c>
      <c r="D23" s="139"/>
      <c r="E23" s="139"/>
      <c r="F23" s="139">
        <f t="shared" si="2"/>
        <v>80647182.376997754</v>
      </c>
      <c r="H23" s="141">
        <f t="shared" si="3"/>
        <v>1.9759254189201902</v>
      </c>
    </row>
    <row r="25" spans="2:8" ht="32" x14ac:dyDescent="0.2">
      <c r="B25" s="138" t="s">
        <v>126</v>
      </c>
      <c r="C25" s="138" t="s">
        <v>124</v>
      </c>
      <c r="E25" s="140" t="s">
        <v>133</v>
      </c>
    </row>
    <row r="26" spans="2:8" ht="16" x14ac:dyDescent="0.2">
      <c r="B26" s="133" t="s">
        <v>9</v>
      </c>
      <c r="C26" s="139">
        <f>(D13*F13^2)/($H$10^2*$B$10)</f>
        <v>1.0217690898700356E-9</v>
      </c>
      <c r="E26" s="141">
        <f>$G$6/(C26*$D$10)-1</f>
        <v>6.2215811992476633</v>
      </c>
    </row>
    <row r="27" spans="2:8" ht="16" x14ac:dyDescent="0.2">
      <c r="B27" s="133" t="s">
        <v>10</v>
      </c>
      <c r="C27" s="139">
        <f>(D14*F14^2)/($H$10^2*$B$10)</f>
        <v>2.9964720495039238E-10</v>
      </c>
      <c r="E27" s="141">
        <f t="shared" ref="E27:E28" si="4">$G$6/(C27*$D$10)-1</f>
        <v>23.624919997499823</v>
      </c>
    </row>
    <row r="28" spans="2:8" ht="16" x14ac:dyDescent="0.2">
      <c r="B28" s="133" t="s">
        <v>11</v>
      </c>
      <c r="C28" s="139">
        <f>(D15*F15^2)/($H$10^2*$B$10)</f>
        <v>1.1200647806136532E-9</v>
      </c>
      <c r="E28" s="141">
        <f t="shared" si="4"/>
        <v>5.5878229340763728</v>
      </c>
    </row>
    <row r="29" spans="2:8" ht="16" x14ac:dyDescent="0.2">
      <c r="B29" s="133" t="s">
        <v>12</v>
      </c>
      <c r="C29" s="139">
        <f>(D16*F16^2)/($H$10^2*$B$10)</f>
        <v>2.3754650666899567E-10</v>
      </c>
      <c r="E29" s="141">
        <f>$G$6/(C29*$D$10)-1</f>
        <v>30.062500361917202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4CC190-6C97-4168-818D-D65774A9D2BC}">
  <dimension ref="B1:H29"/>
  <sheetViews>
    <sheetView zoomScaleNormal="94" workbookViewId="0">
      <selection activeCell="A7" sqref="A7"/>
    </sheetView>
  </sheetViews>
  <sheetFormatPr baseColWidth="10" defaultColWidth="8.83203125" defaultRowHeight="15" x14ac:dyDescent="0.2"/>
  <cols>
    <col min="2" max="2" width="19.83203125" customWidth="1"/>
    <col min="3" max="3" width="21.1640625" customWidth="1"/>
    <col min="4" max="4" width="20.1640625" customWidth="1"/>
    <col min="5" max="5" width="17.33203125" customWidth="1"/>
    <col min="6" max="6" width="14.6640625" customWidth="1"/>
    <col min="7" max="7" width="17.1640625" customWidth="1"/>
    <col min="8" max="8" width="18.33203125" customWidth="1"/>
    <col min="10" max="10" width="15.33203125" customWidth="1"/>
    <col min="11" max="11" width="12.5" bestFit="1" customWidth="1"/>
  </cols>
  <sheetData>
    <row r="1" spans="2:8" ht="16" customHeight="1" thickBot="1" x14ac:dyDescent="0.25"/>
    <row r="2" spans="2:8" ht="17" thickBot="1" x14ac:dyDescent="0.25">
      <c r="B2" s="136" t="s">
        <v>116</v>
      </c>
      <c r="C2" s="137" t="s">
        <v>136</v>
      </c>
    </row>
    <row r="3" spans="2:8" ht="18" customHeight="1" x14ac:dyDescent="0.2"/>
    <row r="4" spans="2:8" ht="16" x14ac:dyDescent="0.2">
      <c r="B4" s="128" t="str">
        <f t="shared" ref="B4:H4" si="0">$C$2</f>
        <v>CARBON FIBER</v>
      </c>
      <c r="C4" s="128" t="str">
        <f t="shared" si="0"/>
        <v>CARBON FIBER</v>
      </c>
      <c r="D4" s="128" t="str">
        <f t="shared" si="0"/>
        <v>CARBON FIBER</v>
      </c>
      <c r="E4" s="128" t="str">
        <f t="shared" si="0"/>
        <v>CARBON FIBER</v>
      </c>
      <c r="F4" s="128" t="str">
        <f t="shared" si="0"/>
        <v>CARBON FIBER</v>
      </c>
      <c r="G4" s="128" t="str">
        <f t="shared" si="0"/>
        <v>CARBON FIBER</v>
      </c>
      <c r="H4" s="128" t="str">
        <f t="shared" si="0"/>
        <v>CARBON FIBER</v>
      </c>
    </row>
    <row r="5" spans="2:8" ht="33" customHeight="1" x14ac:dyDescent="0.2">
      <c r="B5" s="129" t="s">
        <v>113</v>
      </c>
      <c r="C5" s="130" t="s">
        <v>114</v>
      </c>
      <c r="D5" s="129" t="s">
        <v>106</v>
      </c>
      <c r="E5" s="130" t="s">
        <v>107</v>
      </c>
      <c r="F5" s="130" t="s">
        <v>123</v>
      </c>
      <c r="G5" s="130" t="s">
        <v>112</v>
      </c>
      <c r="H5" s="130" t="s">
        <v>115</v>
      </c>
    </row>
    <row r="6" spans="2:8" x14ac:dyDescent="0.2">
      <c r="B6" s="131">
        <v>0.45</v>
      </c>
      <c r="C6" s="132">
        <f>B6*0.0254</f>
        <v>1.1429999999999999E-2</v>
      </c>
      <c r="D6" s="131">
        <v>0.06</v>
      </c>
      <c r="E6" s="132">
        <f>D6*0.0254</f>
        <v>1.524E-3</v>
      </c>
      <c r="F6" s="132">
        <f>C6-E6</f>
        <v>9.9059999999999999E-3</v>
      </c>
      <c r="G6" s="132">
        <f>H10/4*(C6^4-F6^4)</f>
        <v>5.8422643894571366E-9</v>
      </c>
      <c r="H6" s="132">
        <f>H10*(C6^2-F6^2)</f>
        <v>1.0214921505599992E-4</v>
      </c>
    </row>
    <row r="8" spans="2:8" ht="16" x14ac:dyDescent="0.2">
      <c r="B8" s="128" t="str">
        <f>$C$2</f>
        <v>CARBON FIBER</v>
      </c>
      <c r="C8" s="128" t="str">
        <f>$C$2</f>
        <v>CARBON FIBER</v>
      </c>
      <c r="D8" s="128" t="str">
        <f>$C$2</f>
        <v>CARBON FIBER</v>
      </c>
      <c r="E8" s="128" t="str">
        <f t="shared" ref="E8:F8" si="1">$C$2</f>
        <v>CARBON FIBER</v>
      </c>
      <c r="F8" s="128" t="str">
        <f t="shared" si="1"/>
        <v>CARBON FIBER</v>
      </c>
      <c r="G8" s="128" t="str">
        <f>$C$2</f>
        <v>CARBON FIBER</v>
      </c>
      <c r="H8" s="128" t="str">
        <f>$C$2</f>
        <v>CARBON FIBER</v>
      </c>
    </row>
    <row r="9" spans="2:8" ht="35" customHeight="1" x14ac:dyDescent="0.2">
      <c r="B9" s="129" t="s">
        <v>138</v>
      </c>
      <c r="C9" s="129" t="s">
        <v>137</v>
      </c>
      <c r="D9" s="129" t="s">
        <v>110</v>
      </c>
      <c r="E9" s="129" t="s">
        <v>134</v>
      </c>
      <c r="F9" s="130" t="s">
        <v>135</v>
      </c>
      <c r="G9" s="130" t="s">
        <v>139</v>
      </c>
      <c r="H9" s="130" t="s">
        <v>108</v>
      </c>
    </row>
    <row r="10" spans="2:8" x14ac:dyDescent="0.2">
      <c r="B10" s="135">
        <f>14.5*6894745000</f>
        <v>99973802500</v>
      </c>
      <c r="C10" s="135">
        <f>132*6895000</f>
        <v>910140000</v>
      </c>
      <c r="D10" s="131">
        <v>1.65</v>
      </c>
      <c r="E10" s="131">
        <v>1</v>
      </c>
      <c r="F10" s="132">
        <f>E10*0.0254</f>
        <v>2.5399999999999999E-2</v>
      </c>
      <c r="G10" s="132">
        <v>2000</v>
      </c>
      <c r="H10" s="132">
        <v>3.1415000000000002</v>
      </c>
    </row>
    <row r="12" spans="2:8" ht="37.5" customHeight="1" x14ac:dyDescent="0.2">
      <c r="B12" s="138" t="s">
        <v>119</v>
      </c>
      <c r="C12" s="138" t="s">
        <v>117</v>
      </c>
      <c r="D12" s="138" t="s">
        <v>118</v>
      </c>
      <c r="E12" s="138" t="s">
        <v>122</v>
      </c>
      <c r="F12" s="138" t="s">
        <v>121</v>
      </c>
      <c r="G12" s="138" t="s">
        <v>125</v>
      </c>
      <c r="H12" s="138" t="s">
        <v>127</v>
      </c>
    </row>
    <row r="13" spans="2:8" ht="16" x14ac:dyDescent="0.2">
      <c r="B13" s="133" t="s">
        <v>9</v>
      </c>
      <c r="C13" s="134" cm="1">
        <f t="array" ref="C13:C17">TRANSPOSE('Front Tires Force Calculations'!T114:X114)*-1</f>
        <v>0</v>
      </c>
      <c r="D13" s="134" cm="1">
        <f t="array" ref="D13:D17">TRANSPOSE('Front Tires Force Calculations'!T113:X113)</f>
        <v>14171.559434082297</v>
      </c>
      <c r="E13" s="134">
        <f>ABS(('Front Tires Force Calculations'!C5-'Front Tires Force Calculations'!C12)/'Front Tires Force Calculations'!C25)</f>
        <v>381.92804828497179</v>
      </c>
      <c r="F13" s="134" cm="1">
        <f t="array" ref="F13:F17">E13:E17/1000</f>
        <v>0.38192804828497179</v>
      </c>
      <c r="G13" s="134">
        <f>ACOS(SUMPRODUCT('Front Tires Force Calculations'!C25:E25,'Front Tires Force Calculations'!$C$29:$E$29))</f>
        <v>0.22816878093262338</v>
      </c>
      <c r="H13" s="134">
        <f>(SIN(G13)*$C$17*$F$10)/F13</f>
        <v>175.8121820847818</v>
      </c>
    </row>
    <row r="14" spans="2:8" ht="16" x14ac:dyDescent="0.2">
      <c r="B14" s="133" t="s">
        <v>10</v>
      </c>
      <c r="C14" s="134">
        <v>3243.8909995237045</v>
      </c>
      <c r="D14" s="134">
        <v>4618.5861593729605</v>
      </c>
      <c r="E14" s="134">
        <f>ABS(('Front Tires Force Calculations'!C6-'Front Tires Force Calculations'!C13)/'Front Tires Force Calculations'!C26)</f>
        <v>362.29687265005168</v>
      </c>
      <c r="F14" s="134">
        <v>0.36229687265005167</v>
      </c>
      <c r="G14" s="134">
        <f>ACOS(SUMPRODUCT('Front Tires Force Calculations'!C26:E26,'Front Tires Force Calculations'!$C$29:$E$29))</f>
        <v>0.54849490306786275</v>
      </c>
      <c r="H14" s="134">
        <f>(SIN(G14)*$C$17*$F$10)/F14</f>
        <v>427.22682970184582</v>
      </c>
    </row>
    <row r="15" spans="2:8" ht="16" x14ac:dyDescent="0.2">
      <c r="B15" s="133" t="s">
        <v>11</v>
      </c>
      <c r="C15" s="134">
        <v>6829.0787632673473</v>
      </c>
      <c r="D15" s="134">
        <v>10913.130604274667</v>
      </c>
      <c r="E15" s="134">
        <f>ABS(('Front Tires Force Calculations'!C7-'Front Tires Force Calculations'!C14)/'Front Tires Force Calculations'!C27)</f>
        <v>455.68096670648868</v>
      </c>
      <c r="F15" s="134">
        <v>0.45568096670648867</v>
      </c>
      <c r="G15" s="134"/>
      <c r="H15" s="134"/>
    </row>
    <row r="16" spans="2:8" ht="16" x14ac:dyDescent="0.2">
      <c r="B16" s="133" t="s">
        <v>12</v>
      </c>
      <c r="C16" s="134">
        <v>10199.485989690396</v>
      </c>
      <c r="D16" s="134">
        <v>2388.1240086315352</v>
      </c>
      <c r="E16" s="134">
        <f>ABS(('Front Tires Force Calculations'!C8-'Front Tires Force Calculations'!C15)/'Front Tires Force Calculations'!C28)</f>
        <v>448.60063217918002</v>
      </c>
      <c r="F16" s="134">
        <v>0.44860063217918</v>
      </c>
      <c r="G16" s="134"/>
      <c r="H16" s="134"/>
    </row>
    <row r="17" spans="2:8" ht="16" x14ac:dyDescent="0.2">
      <c r="B17" s="133" t="s">
        <v>120</v>
      </c>
      <c r="C17" s="134">
        <v>11687.333596260234</v>
      </c>
      <c r="D17" s="134">
        <v>0</v>
      </c>
      <c r="E17" s="134">
        <f>ABS(('Front Tires Force Calculations'!C9-'Front Tires Force Calculations'!C16)/'Front Tires Force Calculations'!C29)</f>
        <v>449.30141507806661</v>
      </c>
      <c r="F17" s="134">
        <v>0.44930141507806659</v>
      </c>
      <c r="G17" s="134">
        <f>ACOS(SUMPRODUCT('Front Tires Force Calculations'!C29:E29,'Front Tires Force Calculations'!$C$29:$E$29))</f>
        <v>0</v>
      </c>
      <c r="H17" s="134"/>
    </row>
    <row r="19" spans="2:8" ht="35" customHeight="1" x14ac:dyDescent="0.2">
      <c r="B19" s="138" t="s">
        <v>126</v>
      </c>
      <c r="C19" s="138" t="s">
        <v>128</v>
      </c>
      <c r="D19" s="138" t="s">
        <v>129</v>
      </c>
      <c r="E19" s="138" t="s">
        <v>131</v>
      </c>
      <c r="F19" s="138" t="s">
        <v>130</v>
      </c>
      <c r="H19" s="140" t="s">
        <v>132</v>
      </c>
    </row>
    <row r="20" spans="2:8" ht="16" x14ac:dyDescent="0.2">
      <c r="B20" s="133" t="s">
        <v>9</v>
      </c>
      <c r="C20" s="139">
        <f>MAX(C13:D13)/$H$6</f>
        <v>138733904.38010913</v>
      </c>
      <c r="D20" s="139">
        <f>(F13*H13*$C$6)/$G$6</f>
        <v>131369800.75249599</v>
      </c>
      <c r="E20" s="139">
        <f>H13/$H$6</f>
        <v>1721131.013962257</v>
      </c>
      <c r="F20" s="139">
        <f>SQRT(1/2*((D20+C20)^2+(D20+C20)^2)+3*E20^2)</f>
        <v>270120155.49059451</v>
      </c>
      <c r="H20" s="141">
        <f>$C$10/(F20*$D$10)-1</f>
        <v>1.0420542073144428</v>
      </c>
    </row>
    <row r="21" spans="2:8" ht="16" x14ac:dyDescent="0.2">
      <c r="B21" s="133" t="s">
        <v>10</v>
      </c>
      <c r="C21" s="139">
        <f>MAX(C14:D14)/$H$6</f>
        <v>45214113.068230368</v>
      </c>
      <c r="D21" s="139">
        <f>(F14*H14*$C$6)/$G$6</f>
        <v>302822490.65828067</v>
      </c>
      <c r="E21" s="139">
        <f>H14/$H$6</f>
        <v>4182379.9572775266</v>
      </c>
      <c r="F21" s="139">
        <f t="shared" ref="F21:F23" si="2">SQRT(1/2*((D21+C21)^2+(D21+C21)^2)+3*E21^2)</f>
        <v>348111985.48714983</v>
      </c>
      <c r="H21" s="141">
        <f>$C$10/(F21*$D$10)-1</f>
        <v>0.58454756801345953</v>
      </c>
    </row>
    <row r="22" spans="2:8" ht="16" x14ac:dyDescent="0.2">
      <c r="B22" s="133" t="s">
        <v>11</v>
      </c>
      <c r="C22" s="139">
        <f>MAX(C15:D15)/$H$6</f>
        <v>106835188.09510092</v>
      </c>
      <c r="D22" s="139"/>
      <c r="E22" s="139"/>
      <c r="F22" s="139">
        <f t="shared" si="2"/>
        <v>106835188.09510092</v>
      </c>
      <c r="H22" s="141">
        <f>$C$10/(F22*$D$10)-1</f>
        <v>4.1630928894793087</v>
      </c>
    </row>
    <row r="23" spans="2:8" ht="16" x14ac:dyDescent="0.2">
      <c r="B23" s="133" t="s">
        <v>12</v>
      </c>
      <c r="C23" s="139">
        <f>MAX(C16:D16)/$H$6</f>
        <v>99848892.466759205</v>
      </c>
      <c r="D23" s="139"/>
      <c r="E23" s="139"/>
      <c r="F23" s="139">
        <f t="shared" si="2"/>
        <v>99848892.466759205</v>
      </c>
      <c r="H23" s="141">
        <f>$C$10/(F23*$D$10)-1</f>
        <v>4.5243477055454946</v>
      </c>
    </row>
    <row r="25" spans="2:8" ht="32" x14ac:dyDescent="0.2">
      <c r="B25" s="138" t="s">
        <v>126</v>
      </c>
      <c r="C25" s="138" t="s">
        <v>124</v>
      </c>
      <c r="E25" s="140" t="s">
        <v>133</v>
      </c>
    </row>
    <row r="26" spans="2:8" ht="16" x14ac:dyDescent="0.2">
      <c r="B26" s="133" t="s">
        <v>9</v>
      </c>
      <c r="C26" s="139">
        <f>(D13*F13^2)/($H$10^2*$B$10)</f>
        <v>2.0951755178398589E-9</v>
      </c>
      <c r="E26" s="141">
        <f>$G$6/(C26*$D$10)-1</f>
        <v>0.68996166024851457</v>
      </c>
    </row>
    <row r="27" spans="2:8" ht="16" x14ac:dyDescent="0.2">
      <c r="B27" s="133" t="s">
        <v>10</v>
      </c>
      <c r="C27" s="139">
        <f>(D14*F14^2)/($H$10^2*$B$10)</f>
        <v>6.1443773747457919E-10</v>
      </c>
      <c r="E27" s="141">
        <f>$G$6/(C27*$D$10)-1</f>
        <v>4.7626120283459628</v>
      </c>
    </row>
    <row r="28" spans="2:8" ht="16" x14ac:dyDescent="0.2">
      <c r="B28" s="133" t="s">
        <v>11</v>
      </c>
      <c r="C28" s="139">
        <f>(D15*F15^2)/($H$10^2*$B$10)</f>
        <v>2.2967344872752928E-9</v>
      </c>
      <c r="E28" s="141">
        <f>$G$6/(C28*$D$10)-1</f>
        <v>0.54165242706885119</v>
      </c>
    </row>
    <row r="29" spans="2:8" ht="16" x14ac:dyDescent="0.2">
      <c r="B29" s="133" t="s">
        <v>12</v>
      </c>
      <c r="C29" s="139">
        <f>(D16*F16^2)/($H$10^2*$B$10)</f>
        <v>4.8709794615588528E-10</v>
      </c>
      <c r="E29" s="141">
        <f>$G$6/(C29*$D$10)-1</f>
        <v>6.2691053710736497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F36040-C4A7-4D2D-B76C-C36DCA1589B7}">
  <sheetPr codeName="Sheet2"/>
  <dimension ref="A2:Z124"/>
  <sheetViews>
    <sheetView topLeftCell="C72" zoomScale="92" zoomScaleNormal="78" workbookViewId="0">
      <selection activeCell="U113" sqref="U113"/>
    </sheetView>
  </sheetViews>
  <sheetFormatPr baseColWidth="10" defaultColWidth="8.6640625" defaultRowHeight="15" x14ac:dyDescent="0.2"/>
  <cols>
    <col min="1" max="1" width="7.33203125" style="5" customWidth="1"/>
    <col min="2" max="2" width="14.33203125" style="5" customWidth="1"/>
    <col min="3" max="3" width="13" style="5" customWidth="1"/>
    <col min="4" max="4" width="16.6640625" style="5" customWidth="1"/>
    <col min="5" max="5" width="13.1640625" style="5" customWidth="1"/>
    <col min="6" max="6" width="8.6640625" style="5"/>
    <col min="7" max="7" width="9.1640625" style="5" customWidth="1"/>
    <col min="8" max="8" width="12.83203125" style="5" customWidth="1"/>
    <col min="9" max="9" width="14.83203125" style="5" customWidth="1"/>
    <col min="10" max="10" width="9.83203125" style="5" bestFit="1" customWidth="1"/>
    <col min="11" max="11" width="13.33203125" style="5" customWidth="1"/>
    <col min="12" max="12" width="16.6640625" style="5" customWidth="1"/>
    <col min="13" max="13" width="11.6640625" style="5" customWidth="1"/>
    <col min="14" max="14" width="13.1640625" style="5" customWidth="1"/>
    <col min="15" max="15" width="11" style="5" customWidth="1"/>
    <col min="16" max="16" width="10.83203125" style="5" customWidth="1"/>
    <col min="17" max="18" width="8.6640625" style="5"/>
    <col min="19" max="19" width="17.1640625" style="5" customWidth="1"/>
    <col min="20" max="20" width="14.5" style="5" customWidth="1"/>
    <col min="21" max="21" width="15" style="5" customWidth="1"/>
    <col min="22" max="22" width="13.83203125" style="5" customWidth="1"/>
    <col min="23" max="23" width="15.5" style="5" customWidth="1"/>
    <col min="24" max="24" width="11.6640625" style="5" customWidth="1"/>
    <col min="25" max="25" width="8.83203125" style="5" bestFit="1" customWidth="1"/>
    <col min="26" max="16384" width="8.6640625" style="5"/>
  </cols>
  <sheetData>
    <row r="2" spans="2:13" x14ac:dyDescent="0.2">
      <c r="B2" s="7"/>
      <c r="C2" s="8" t="s">
        <v>101</v>
      </c>
      <c r="D2" s="9"/>
      <c r="E2" s="10"/>
      <c r="G2" s="8" t="s">
        <v>102</v>
      </c>
      <c r="H2" s="9"/>
      <c r="I2" s="10"/>
      <c r="K2" s="8" t="s">
        <v>103</v>
      </c>
      <c r="L2" s="9"/>
      <c r="M2" s="10"/>
    </row>
    <row r="3" spans="2:13" x14ac:dyDescent="0.2">
      <c r="B3" s="7"/>
      <c r="C3" s="11" t="s">
        <v>0</v>
      </c>
      <c r="D3" s="9"/>
      <c r="E3" s="10"/>
      <c r="G3" s="11" t="s">
        <v>0</v>
      </c>
      <c r="H3" s="9"/>
      <c r="I3" s="10"/>
      <c r="K3" s="11" t="s">
        <v>0</v>
      </c>
      <c r="L3" s="9"/>
      <c r="M3" s="10"/>
    </row>
    <row r="4" spans="2:13" x14ac:dyDescent="0.2">
      <c r="B4" s="12"/>
      <c r="C4" s="13" t="s">
        <v>1</v>
      </c>
      <c r="D4" s="14" t="s">
        <v>2</v>
      </c>
      <c r="E4" s="15" t="s">
        <v>3</v>
      </c>
      <c r="G4" s="13" t="s">
        <v>1</v>
      </c>
      <c r="H4" s="14" t="s">
        <v>2</v>
      </c>
      <c r="I4" s="15" t="s">
        <v>3</v>
      </c>
      <c r="K4" s="13" t="s">
        <v>1</v>
      </c>
      <c r="L4" s="14" t="s">
        <v>2</v>
      </c>
      <c r="M4" s="15" t="s">
        <v>3</v>
      </c>
    </row>
    <row r="5" spans="2:13" x14ac:dyDescent="0.2">
      <c r="B5" s="7" t="s">
        <v>9</v>
      </c>
      <c r="C5" s="16" cm="1">
        <f t="array" ref="C5:D9">G5:H9*25.4</f>
        <v>177.79999999999998</v>
      </c>
      <c r="D5" s="16">
        <v>284.47999999999996</v>
      </c>
      <c r="E5" s="16" cm="1">
        <f t="array" ref="E5:E9">I5:I9*25.4*-1</f>
        <v>275.08199999999999</v>
      </c>
      <c r="F5" s="5" t="s">
        <v>104</v>
      </c>
      <c r="G5" s="16">
        <v>7</v>
      </c>
      <c r="H5" s="16">
        <v>11.2</v>
      </c>
      <c r="I5" s="16">
        <v>-10.83</v>
      </c>
      <c r="K5" s="16">
        <v>219.71</v>
      </c>
      <c r="L5" s="16">
        <v>284.48</v>
      </c>
      <c r="M5" s="16">
        <v>240</v>
      </c>
    </row>
    <row r="6" spans="2:13" x14ac:dyDescent="0.2">
      <c r="B6" s="7" t="s">
        <v>10</v>
      </c>
      <c r="C6" s="16">
        <v>-40.64</v>
      </c>
      <c r="D6" s="16">
        <v>284.47999999999996</v>
      </c>
      <c r="E6" s="16">
        <v>269.74799999999999</v>
      </c>
      <c r="G6" s="16">
        <v>-1.6</v>
      </c>
      <c r="H6" s="16">
        <v>11.2</v>
      </c>
      <c r="I6" s="16">
        <v>-10.62</v>
      </c>
      <c r="K6" s="16">
        <v>-160</v>
      </c>
      <c r="L6" s="16">
        <v>284.48</v>
      </c>
      <c r="M6" s="16">
        <v>240</v>
      </c>
    </row>
    <row r="7" spans="2:13" x14ac:dyDescent="0.2">
      <c r="B7" s="7" t="s">
        <v>11</v>
      </c>
      <c r="C7" s="16">
        <v>190.5</v>
      </c>
      <c r="D7" s="16">
        <v>177.79999999999998</v>
      </c>
      <c r="E7" s="16">
        <v>132.00379999999998</v>
      </c>
      <c r="G7" s="16">
        <v>7.5</v>
      </c>
      <c r="H7" s="16">
        <v>7</v>
      </c>
      <c r="I7" s="16">
        <v>-5.1970000000000001</v>
      </c>
      <c r="K7" s="16">
        <v>149.47900000000001</v>
      </c>
      <c r="L7" s="16">
        <v>170.18</v>
      </c>
      <c r="M7" s="16">
        <v>120</v>
      </c>
    </row>
    <row r="8" spans="2:13" x14ac:dyDescent="0.2">
      <c r="B8" s="7" t="s">
        <v>12</v>
      </c>
      <c r="C8" s="16">
        <v>-35.051999999999992</v>
      </c>
      <c r="D8" s="16">
        <v>177.79999999999998</v>
      </c>
      <c r="E8" s="16">
        <v>91.998799999999989</v>
      </c>
      <c r="G8" s="16">
        <v>-1.38</v>
      </c>
      <c r="H8" s="16">
        <v>7</v>
      </c>
      <c r="I8" s="16">
        <v>-3.6219999999999999</v>
      </c>
      <c r="K8" s="16">
        <v>-180</v>
      </c>
      <c r="L8" s="16">
        <v>170.18</v>
      </c>
      <c r="M8" s="16">
        <v>120</v>
      </c>
    </row>
    <row r="9" spans="2:13" x14ac:dyDescent="0.2">
      <c r="B9" s="7" t="s">
        <v>13</v>
      </c>
      <c r="C9" s="16">
        <v>176.01945999999998</v>
      </c>
      <c r="D9" s="16">
        <v>376.40514000000002</v>
      </c>
      <c r="E9" s="16">
        <v>91.038679999999999</v>
      </c>
      <c r="G9" s="16">
        <v>6.9298999999999999</v>
      </c>
      <c r="H9" s="16">
        <v>14.819100000000001</v>
      </c>
      <c r="I9" s="16">
        <v>-3.5842000000000001</v>
      </c>
      <c r="K9" s="16">
        <v>190.5</v>
      </c>
      <c r="L9" s="16">
        <v>170.18</v>
      </c>
      <c r="M9" s="16">
        <v>130.55600000000001</v>
      </c>
    </row>
    <row r="10" spans="2:13" x14ac:dyDescent="0.2">
      <c r="B10" s="7" t="s">
        <v>14</v>
      </c>
      <c r="C10" s="16">
        <f>60</f>
        <v>60</v>
      </c>
      <c r="D10" s="16">
        <v>135.88999999999999</v>
      </c>
      <c r="E10" s="16">
        <v>175</v>
      </c>
      <c r="G10" s="16"/>
      <c r="H10" s="16"/>
      <c r="I10" s="16"/>
      <c r="K10" s="16">
        <v>179.07</v>
      </c>
      <c r="L10" s="16">
        <v>170.18</v>
      </c>
      <c r="M10" s="16">
        <v>145</v>
      </c>
    </row>
    <row r="11" spans="2:13" x14ac:dyDescent="0.2">
      <c r="B11" s="7"/>
      <c r="C11" s="17" t="s">
        <v>4</v>
      </c>
      <c r="D11" s="17"/>
      <c r="E11" s="17"/>
      <c r="G11" s="17" t="s">
        <v>4</v>
      </c>
      <c r="H11" s="17"/>
      <c r="I11" s="17"/>
      <c r="K11" s="17" t="s">
        <v>4</v>
      </c>
      <c r="L11" s="17"/>
      <c r="M11" s="17"/>
    </row>
    <row r="12" spans="2:13" x14ac:dyDescent="0.2">
      <c r="B12" s="7" t="s">
        <v>9</v>
      </c>
      <c r="C12" s="16" cm="1">
        <f t="array" ref="C12:D16">G12:H16*25.4</f>
        <v>0</v>
      </c>
      <c r="D12" s="16">
        <v>561.84799999999996</v>
      </c>
      <c r="E12" s="16" cm="1">
        <f t="array" ref="E12:E16">I12:I16*25.4*-1</f>
        <v>292.09999999999997</v>
      </c>
      <c r="G12" s="16">
        <v>0</v>
      </c>
      <c r="H12" s="16">
        <v>22.12</v>
      </c>
      <c r="I12" s="16">
        <v>-11.5</v>
      </c>
      <c r="K12" s="16">
        <v>-10</v>
      </c>
      <c r="L12" s="16">
        <v>570</v>
      </c>
      <c r="M12" s="16">
        <v>280</v>
      </c>
    </row>
    <row r="13" spans="2:13" x14ac:dyDescent="0.2">
      <c r="B13" s="7" t="s">
        <v>10</v>
      </c>
      <c r="C13" s="16">
        <v>0</v>
      </c>
      <c r="D13" s="16">
        <v>561.84799999999996</v>
      </c>
      <c r="E13" s="16">
        <v>292.09999999999997</v>
      </c>
      <c r="G13" s="16">
        <v>0</v>
      </c>
      <c r="H13" s="16">
        <v>22.12</v>
      </c>
      <c r="I13" s="16">
        <v>-11.5</v>
      </c>
      <c r="K13" s="16">
        <v>-10</v>
      </c>
      <c r="L13" s="16">
        <v>570</v>
      </c>
      <c r="M13" s="16">
        <v>280</v>
      </c>
    </row>
    <row r="14" spans="2:13" x14ac:dyDescent="0.2">
      <c r="B14" s="7" t="s">
        <v>11</v>
      </c>
      <c r="C14" s="16">
        <v>12.953999999999999</v>
      </c>
      <c r="D14" s="16">
        <v>579.98359999999991</v>
      </c>
      <c r="E14" s="16">
        <v>109.982</v>
      </c>
      <c r="G14" s="16">
        <v>0.51</v>
      </c>
      <c r="H14" s="16">
        <v>22.834</v>
      </c>
      <c r="I14" s="16">
        <v>-4.33</v>
      </c>
      <c r="K14" s="16">
        <v>11.125</v>
      </c>
      <c r="L14" s="16">
        <v>574.04</v>
      </c>
      <c r="M14" s="16">
        <v>144.78</v>
      </c>
    </row>
    <row r="15" spans="2:13" x14ac:dyDescent="0.2">
      <c r="B15" s="7" t="s">
        <v>12</v>
      </c>
      <c r="C15" s="16">
        <v>12.953999999999999</v>
      </c>
      <c r="D15" s="16">
        <v>579.98359999999991</v>
      </c>
      <c r="E15" s="16">
        <v>109.982</v>
      </c>
      <c r="G15" s="16">
        <v>0.51</v>
      </c>
      <c r="H15" s="16">
        <v>22.834</v>
      </c>
      <c r="I15" s="16">
        <v>-4.33</v>
      </c>
      <c r="K15" s="16">
        <v>11.125</v>
      </c>
      <c r="L15" s="16">
        <v>574.04</v>
      </c>
      <c r="M15" s="16">
        <v>144.78</v>
      </c>
    </row>
    <row r="16" spans="2:13" x14ac:dyDescent="0.2">
      <c r="B16" s="7" t="s">
        <v>13</v>
      </c>
      <c r="C16" s="16">
        <v>0</v>
      </c>
      <c r="D16" s="16">
        <v>561.84799999999996</v>
      </c>
      <c r="E16" s="16">
        <v>292.09999999999997</v>
      </c>
      <c r="G16" s="16">
        <v>0</v>
      </c>
      <c r="H16" s="16">
        <v>22.12</v>
      </c>
      <c r="I16" s="16">
        <v>-11.5</v>
      </c>
      <c r="K16" s="16">
        <v>0</v>
      </c>
      <c r="L16" s="16">
        <f>22.9*25.4</f>
        <v>581.66</v>
      </c>
      <c r="M16" s="16">
        <f>12.95*25.4</f>
        <v>328.92999999999995</v>
      </c>
    </row>
    <row r="17" spans="2:13" x14ac:dyDescent="0.2">
      <c r="B17" s="7" t="s">
        <v>14</v>
      </c>
      <c r="C17" s="16">
        <f>90</f>
        <v>90</v>
      </c>
      <c r="D17" s="16">
        <v>561.79700000000003</v>
      </c>
      <c r="E17" s="16">
        <v>180</v>
      </c>
      <c r="G17" s="16"/>
      <c r="H17" s="16"/>
      <c r="I17" s="16"/>
      <c r="K17" s="16">
        <v>80</v>
      </c>
      <c r="L17" s="16">
        <v>574.04</v>
      </c>
      <c r="M17" s="16">
        <v>175</v>
      </c>
    </row>
    <row r="18" spans="2:13" x14ac:dyDescent="0.2">
      <c r="B18" s="7"/>
      <c r="C18" s="5" t="s">
        <v>82</v>
      </c>
      <c r="D18" s="17"/>
      <c r="E18" s="17"/>
    </row>
    <row r="19" spans="2:13" x14ac:dyDescent="0.2">
      <c r="B19" s="7" t="s">
        <v>5</v>
      </c>
      <c r="C19" s="16">
        <f>0</f>
        <v>0</v>
      </c>
      <c r="D19" s="16">
        <v>609.6</v>
      </c>
      <c r="E19" s="16">
        <v>0</v>
      </c>
    </row>
    <row r="20" spans="2:13" x14ac:dyDescent="0.2">
      <c r="B20" s="7" t="s">
        <v>6</v>
      </c>
      <c r="C20" s="16">
        <f>0</f>
        <v>0</v>
      </c>
      <c r="D20" s="16">
        <v>609.6</v>
      </c>
      <c r="E20" s="16">
        <v>0</v>
      </c>
    </row>
    <row r="21" spans="2:13" x14ac:dyDescent="0.2">
      <c r="B21" s="7" t="s">
        <v>7</v>
      </c>
      <c r="C21" s="16">
        <f>0</f>
        <v>0</v>
      </c>
      <c r="D21" s="16">
        <v>609.6</v>
      </c>
      <c r="E21" s="16">
        <v>0</v>
      </c>
      <c r="K21"/>
      <c r="L21"/>
      <c r="M21"/>
    </row>
    <row r="22" spans="2:13" x14ac:dyDescent="0.2">
      <c r="K22"/>
      <c r="L22"/>
      <c r="M22"/>
    </row>
    <row r="23" spans="2:13" x14ac:dyDescent="0.2">
      <c r="C23" s="18" t="s">
        <v>23</v>
      </c>
      <c r="D23" s="19"/>
      <c r="E23" s="20"/>
      <c r="K23"/>
      <c r="L23"/>
      <c r="M23"/>
    </row>
    <row r="24" spans="2:13" x14ac:dyDescent="0.2">
      <c r="C24" s="21" t="s">
        <v>21</v>
      </c>
      <c r="D24" s="22"/>
      <c r="E24" s="23"/>
      <c r="K24"/>
      <c r="L24"/>
      <c r="M24"/>
    </row>
    <row r="25" spans="2:13" x14ac:dyDescent="0.2">
      <c r="B25" s="7" t="s">
        <v>9</v>
      </c>
      <c r="C25" s="24">
        <f t="array" ref="C25:E25">unit_vector(C12:E12-C5:E5)</f>
        <v>-0.53894760775783934</v>
      </c>
      <c r="D25" s="24">
        <v>0.84075826810222931</v>
      </c>
      <c r="E25" s="24">
        <v>5.1584985313964542E-2</v>
      </c>
      <c r="G25" s="5">
        <f>(C5-C12)/C25</f>
        <v>-329.90219724639599</v>
      </c>
      <c r="H25" s="5">
        <f t="shared" ref="H25:I29" si="0">(D5-D12)/D25</f>
        <v>-329.90219724639604</v>
      </c>
      <c r="I25" s="5">
        <f t="shared" si="0"/>
        <v>-329.90219724639604</v>
      </c>
      <c r="K25"/>
      <c r="L25"/>
      <c r="M25"/>
    </row>
    <row r="26" spans="2:13" x14ac:dyDescent="0.2">
      <c r="B26" s="7" t="s">
        <v>10</v>
      </c>
      <c r="C26" s="24">
        <f t="array" ref="C26:E26">unit_vector(C13:E13-C6:E6)</f>
        <v>0.1445136123217938</v>
      </c>
      <c r="D26" s="24">
        <v>0.98630540409624268</v>
      </c>
      <c r="E26" s="24">
        <v>7.9482486776986508E-2</v>
      </c>
      <c r="G26" s="5">
        <f>(C6-C13)/C26</f>
        <v>-281.21918307256351</v>
      </c>
      <c r="H26" s="5">
        <f t="shared" si="0"/>
        <v>-281.21918307256351</v>
      </c>
      <c r="I26" s="5">
        <f t="shared" si="0"/>
        <v>-281.21918307256351</v>
      </c>
      <c r="K26"/>
      <c r="L26"/>
      <c r="M26"/>
    </row>
    <row r="27" spans="2:13" x14ac:dyDescent="0.2">
      <c r="B27" s="7" t="s">
        <v>11</v>
      </c>
      <c r="C27" s="24">
        <f t="array" ref="C27:E27">unit_vector(C14:E14-C7:E7)</f>
        <v>-0.4033478416607687</v>
      </c>
      <c r="D27" s="24">
        <v>0.91367807222555242</v>
      </c>
      <c r="E27" s="24">
        <v>-5.0028981218867848E-2</v>
      </c>
      <c r="G27" s="5">
        <f t="shared" ref="G27:G29" si="1">(C7-C14)/C27</f>
        <v>-440.18086044284109</v>
      </c>
      <c r="H27" s="5">
        <f t="shared" si="0"/>
        <v>-440.18086044284109</v>
      </c>
      <c r="I27" s="5">
        <f t="shared" si="0"/>
        <v>-440.18086044284104</v>
      </c>
      <c r="K27"/>
      <c r="L27"/>
      <c r="M27"/>
    </row>
    <row r="28" spans="2:13" x14ac:dyDescent="0.2">
      <c r="B28" s="7" t="s">
        <v>12</v>
      </c>
      <c r="C28" s="24">
        <f t="array" ref="C28:E28">unit_vector(C15:E15-C8:E8)</f>
        <v>0.11840540706911182</v>
      </c>
      <c r="D28" s="24">
        <v>0.99197418811233684</v>
      </c>
      <c r="E28" s="24">
        <v>4.4355041378270496E-2</v>
      </c>
      <c r="G28" s="5">
        <f t="shared" si="1"/>
        <v>-405.43756563397028</v>
      </c>
      <c r="H28" s="5">
        <f t="shared" si="0"/>
        <v>-405.43756563397028</v>
      </c>
      <c r="I28" s="5">
        <f t="shared" si="0"/>
        <v>-405.43756563397028</v>
      </c>
      <c r="K28"/>
      <c r="L28"/>
      <c r="M28"/>
    </row>
    <row r="29" spans="2:13" x14ac:dyDescent="0.2">
      <c r="B29" s="7" t="s">
        <v>13</v>
      </c>
      <c r="C29" s="24">
        <f t="array" ref="C29:E29">unit_vector(C16:E16-C9:E9)</f>
        <v>-0.54115647656683519</v>
      </c>
      <c r="D29" s="24">
        <v>0.57012789791581497</v>
      </c>
      <c r="E29" s="24">
        <v>0.61814549087400306</v>
      </c>
      <c r="G29" s="5">
        <f t="shared" si="1"/>
        <v>-325.26536708326876</v>
      </c>
      <c r="H29" s="5">
        <f t="shared" si="0"/>
        <v>-325.26536708326876</v>
      </c>
      <c r="I29" s="5">
        <f t="shared" si="0"/>
        <v>-325.26536708326876</v>
      </c>
      <c r="K29"/>
      <c r="L29"/>
      <c r="M29"/>
    </row>
    <row r="30" spans="2:13" x14ac:dyDescent="0.2">
      <c r="B30" s="7" t="s">
        <v>14</v>
      </c>
      <c r="C30" s="24">
        <f t="array" ref="C30:E30">unit_vector(C17:E17-C10:E10)</f>
        <v>7.0259003755609908E-2</v>
      </c>
      <c r="D30" s="24">
        <v>0.99746005041801833</v>
      </c>
      <c r="E30" s="24">
        <v>1.1709833959268317E-2</v>
      </c>
      <c r="K30"/>
      <c r="L30"/>
      <c r="M30"/>
    </row>
    <row r="31" spans="2:13" x14ac:dyDescent="0.2">
      <c r="K31"/>
      <c r="L31"/>
      <c r="M31"/>
    </row>
    <row r="32" spans="2:13" x14ac:dyDescent="0.2">
      <c r="C32" s="26" t="s">
        <v>22</v>
      </c>
      <c r="D32" s="27"/>
      <c r="E32" s="27"/>
      <c r="K32"/>
      <c r="L32"/>
      <c r="M32"/>
    </row>
    <row r="33" spans="2:13" x14ac:dyDescent="0.2">
      <c r="B33" s="7" t="s">
        <v>8</v>
      </c>
      <c r="C33" s="28">
        <f>0</f>
        <v>0</v>
      </c>
      <c r="D33" s="29">
        <v>0</v>
      </c>
      <c r="E33" s="30">
        <v>0</v>
      </c>
      <c r="K33"/>
      <c r="L33"/>
      <c r="M33"/>
    </row>
    <row r="34" spans="2:13" x14ac:dyDescent="0.2">
      <c r="B34" s="7"/>
      <c r="K34"/>
      <c r="L34"/>
      <c r="M34"/>
    </row>
    <row r="35" spans="2:13" x14ac:dyDescent="0.2">
      <c r="B35" s="7" t="s">
        <v>9</v>
      </c>
      <c r="C35" s="31">
        <f>C5-$C$33</f>
        <v>177.79999999999998</v>
      </c>
      <c r="D35" s="31">
        <f>D5-$D$33</f>
        <v>284.47999999999996</v>
      </c>
      <c r="E35" s="31">
        <f>E5-$E$33</f>
        <v>275.08199999999999</v>
      </c>
      <c r="K35"/>
      <c r="L35"/>
      <c r="M35"/>
    </row>
    <row r="36" spans="2:13" x14ac:dyDescent="0.2">
      <c r="B36" s="7" t="s">
        <v>10</v>
      </c>
      <c r="C36" s="31">
        <f>C6-$C$33</f>
        <v>-40.64</v>
      </c>
      <c r="D36" s="31">
        <f>D6-$D$33</f>
        <v>284.47999999999996</v>
      </c>
      <c r="E36" s="31">
        <f t="shared" ref="E36:E40" si="2">E6-$E$33</f>
        <v>269.74799999999999</v>
      </c>
      <c r="K36"/>
      <c r="L36"/>
      <c r="M36"/>
    </row>
    <row r="37" spans="2:13" x14ac:dyDescent="0.2">
      <c r="B37" s="7" t="s">
        <v>11</v>
      </c>
      <c r="C37" s="31">
        <f t="shared" ref="C37:C40" si="3">C7-$C$33</f>
        <v>190.5</v>
      </c>
      <c r="D37" s="31">
        <f t="shared" ref="D37:D40" si="4">D7-$D$33</f>
        <v>177.79999999999998</v>
      </c>
      <c r="E37" s="31">
        <f t="shared" si="2"/>
        <v>132.00379999999998</v>
      </c>
    </row>
    <row r="38" spans="2:13" x14ac:dyDescent="0.2">
      <c r="B38" s="7" t="s">
        <v>12</v>
      </c>
      <c r="C38" s="31">
        <f t="shared" si="3"/>
        <v>-35.051999999999992</v>
      </c>
      <c r="D38" s="31">
        <f t="shared" si="4"/>
        <v>177.79999999999998</v>
      </c>
      <c r="E38" s="31">
        <f t="shared" si="2"/>
        <v>91.998799999999989</v>
      </c>
    </row>
    <row r="39" spans="2:13" x14ac:dyDescent="0.2">
      <c r="B39" s="7" t="s">
        <v>13</v>
      </c>
      <c r="C39" s="31">
        <f t="shared" si="3"/>
        <v>176.01945999999998</v>
      </c>
      <c r="D39" s="31">
        <f t="shared" si="4"/>
        <v>376.40514000000002</v>
      </c>
      <c r="E39" s="31">
        <f t="shared" si="2"/>
        <v>91.038679999999999</v>
      </c>
    </row>
    <row r="40" spans="2:13" x14ac:dyDescent="0.2">
      <c r="B40" s="7" t="s">
        <v>14</v>
      </c>
      <c r="C40" s="31">
        <f t="shared" si="3"/>
        <v>60</v>
      </c>
      <c r="D40" s="31">
        <f t="shared" si="4"/>
        <v>135.88999999999999</v>
      </c>
      <c r="E40" s="31">
        <f t="shared" si="2"/>
        <v>175</v>
      </c>
    </row>
    <row r="41" spans="2:13" x14ac:dyDescent="0.2">
      <c r="B41" s="7"/>
    </row>
    <row r="42" spans="2:13" x14ac:dyDescent="0.2">
      <c r="B42" s="7" t="s">
        <v>5</v>
      </c>
      <c r="C42" s="31">
        <f>C19-C33</f>
        <v>0</v>
      </c>
      <c r="D42" s="31">
        <f t="shared" ref="D42:E42" si="5">D19-D33</f>
        <v>609.6</v>
      </c>
      <c r="E42" s="31">
        <f t="shared" si="5"/>
        <v>0</v>
      </c>
    </row>
    <row r="43" spans="2:13" x14ac:dyDescent="0.2">
      <c r="B43" s="7" t="s">
        <v>6</v>
      </c>
      <c r="C43" s="31">
        <f>C20-C33</f>
        <v>0</v>
      </c>
      <c r="D43" s="31">
        <f t="shared" ref="D43:E43" si="6">D20-D33</f>
        <v>609.6</v>
      </c>
      <c r="E43" s="31">
        <f t="shared" si="6"/>
        <v>0</v>
      </c>
    </row>
    <row r="44" spans="2:13" x14ac:dyDescent="0.2">
      <c r="B44" s="7" t="s">
        <v>7</v>
      </c>
      <c r="C44" s="31">
        <f>C21-C33</f>
        <v>0</v>
      </c>
      <c r="D44" s="31">
        <f t="shared" ref="D44:E44" si="7">D21-D33</f>
        <v>609.6</v>
      </c>
      <c r="E44" s="31">
        <f t="shared" si="7"/>
        <v>0</v>
      </c>
    </row>
    <row r="45" spans="2:13" x14ac:dyDescent="0.2">
      <c r="B45" s="7"/>
    </row>
    <row r="46" spans="2:13" x14ac:dyDescent="0.2">
      <c r="B46" s="7"/>
      <c r="C46" s="18" t="s">
        <v>83</v>
      </c>
      <c r="D46" s="19"/>
      <c r="E46" s="20"/>
    </row>
    <row r="47" spans="2:13" x14ac:dyDescent="0.2">
      <c r="B47" s="7"/>
      <c r="C47" s="11" t="s">
        <v>84</v>
      </c>
      <c r="D47" s="9"/>
      <c r="E47" s="10"/>
    </row>
    <row r="48" spans="2:13" x14ac:dyDescent="0.2">
      <c r="B48" s="5" t="s">
        <v>85</v>
      </c>
      <c r="C48" s="16">
        <v>19</v>
      </c>
      <c r="D48" s="127" t="str">
        <f>VLOOKUP($C$48,A89:B110,2,FALSE)</f>
        <v>Max Bump</v>
      </c>
      <c r="G48" s="5" t="s">
        <v>96</v>
      </c>
    </row>
    <row r="49" spans="2:8" x14ac:dyDescent="0.2">
      <c r="C49" s="5" t="s">
        <v>1</v>
      </c>
      <c r="D49" s="5" t="s">
        <v>2</v>
      </c>
      <c r="E49" s="5" t="s">
        <v>3</v>
      </c>
    </row>
    <row r="50" spans="2:8" x14ac:dyDescent="0.2">
      <c r="B50" s="5" t="s">
        <v>5</v>
      </c>
      <c r="C50" s="32">
        <f>VLOOKUP($C$48,$A$86:$Q$110,14,FALSE)</f>
        <v>0</v>
      </c>
      <c r="D50" s="33">
        <v>0</v>
      </c>
      <c r="E50" s="34">
        <v>0</v>
      </c>
    </row>
    <row r="51" spans="2:8" x14ac:dyDescent="0.2">
      <c r="B51" s="5" t="s">
        <v>6</v>
      </c>
      <c r="C51" s="35">
        <v>0</v>
      </c>
      <c r="D51" s="32">
        <f>VLOOKUP($C$48,$A$86:$Q$110,15,FALSE)</f>
        <v>0</v>
      </c>
      <c r="E51" s="36">
        <v>0</v>
      </c>
    </row>
    <row r="52" spans="2:8" x14ac:dyDescent="0.2">
      <c r="B52" s="5" t="s">
        <v>7</v>
      </c>
      <c r="C52" s="37">
        <v>0</v>
      </c>
      <c r="D52" s="38">
        <v>0</v>
      </c>
      <c r="E52" s="32">
        <f>VLOOKUP($C$48,$A$86:$Q$110,16,FALSE)</f>
        <v>2207.25</v>
      </c>
    </row>
    <row r="53" spans="2:8" x14ac:dyDescent="0.2">
      <c r="C53" s="5" t="s">
        <v>86</v>
      </c>
      <c r="D53" s="5" t="s">
        <v>87</v>
      </c>
      <c r="E53" s="5" t="s">
        <v>88</v>
      </c>
    </row>
    <row r="54" spans="2:8" x14ac:dyDescent="0.2">
      <c r="B54" s="5" t="s">
        <v>79</v>
      </c>
      <c r="C54" s="39">
        <f t="array" ref="C54:E54">cross_product(C42:E42,C50:E50)</f>
        <v>0</v>
      </c>
      <c r="D54" s="40">
        <v>0</v>
      </c>
      <c r="E54" s="41">
        <v>0</v>
      </c>
      <c r="H54" s="25"/>
    </row>
    <row r="55" spans="2:8" x14ac:dyDescent="0.2">
      <c r="B55" s="5" t="s">
        <v>80</v>
      </c>
      <c r="C55" s="39">
        <f t="array" ref="C55:E55">cross_product(C43:E43,C51:E51)</f>
        <v>0</v>
      </c>
      <c r="D55" s="40">
        <v>0</v>
      </c>
      <c r="E55" s="41">
        <v>0</v>
      </c>
      <c r="G55" s="25"/>
      <c r="H55" s="25"/>
    </row>
    <row r="56" spans="2:8" x14ac:dyDescent="0.2">
      <c r="B56" s="5" t="s">
        <v>81</v>
      </c>
      <c r="C56" s="39">
        <f t="array" ref="C56:E56">cross_product(C44:E44,C52:E52)</f>
        <v>1345539.6</v>
      </c>
      <c r="D56" s="40">
        <v>0</v>
      </c>
      <c r="E56" s="41">
        <v>0</v>
      </c>
      <c r="H56" s="25"/>
    </row>
    <row r="57" spans="2:8" x14ac:dyDescent="0.2">
      <c r="H57" s="25"/>
    </row>
    <row r="58" spans="2:8" x14ac:dyDescent="0.2">
      <c r="H58" s="25"/>
    </row>
    <row r="59" spans="2:8" x14ac:dyDescent="0.2">
      <c r="H59" s="25"/>
    </row>
    <row r="60" spans="2:8" x14ac:dyDescent="0.2">
      <c r="H60" s="25"/>
    </row>
    <row r="61" spans="2:8" x14ac:dyDescent="0.2">
      <c r="H61" s="25"/>
    </row>
    <row r="62" spans="2:8" x14ac:dyDescent="0.2">
      <c r="H62" s="25"/>
    </row>
    <row r="63" spans="2:8" x14ac:dyDescent="0.2">
      <c r="H63" s="25"/>
    </row>
    <row r="64" spans="2:8" x14ac:dyDescent="0.2">
      <c r="H64" s="25"/>
    </row>
    <row r="65" spans="2:16" x14ac:dyDescent="0.2">
      <c r="H65" s="25"/>
    </row>
    <row r="66" spans="2:16" x14ac:dyDescent="0.2">
      <c r="H66" s="25"/>
    </row>
    <row r="67" spans="2:16" x14ac:dyDescent="0.2">
      <c r="H67" s="25"/>
      <c r="O67" s="42"/>
    </row>
    <row r="68" spans="2:16" x14ac:dyDescent="0.2">
      <c r="H68" s="25"/>
    </row>
    <row r="69" spans="2:16" x14ac:dyDescent="0.2">
      <c r="C69" s="7" t="s">
        <v>9</v>
      </c>
      <c r="D69" s="7" t="s">
        <v>10</v>
      </c>
      <c r="E69" s="7" t="s">
        <v>11</v>
      </c>
      <c r="F69" s="7" t="s">
        <v>12</v>
      </c>
      <c r="G69" s="7" t="s">
        <v>13</v>
      </c>
      <c r="H69" s="7" t="s">
        <v>14</v>
      </c>
    </row>
    <row r="70" spans="2:16" x14ac:dyDescent="0.2">
      <c r="B70" s="5" t="s">
        <v>24</v>
      </c>
      <c r="C70" s="43" cm="1">
        <f t="array" ref="C70:H72">TRANSPOSE(C25:E30)</f>
        <v>-0.53894760775783934</v>
      </c>
      <c r="D70" s="43">
        <v>0.1445136123217938</v>
      </c>
      <c r="E70" s="43">
        <v>-0.4033478416607687</v>
      </c>
      <c r="F70" s="43">
        <v>0.11840540706911182</v>
      </c>
      <c r="G70" s="43">
        <v>-0.54115647656683519</v>
      </c>
      <c r="H70" s="43">
        <v>7.0259003755609908E-2</v>
      </c>
      <c r="J70" s="44" t="s">
        <v>31</v>
      </c>
      <c r="L70" s="45">
        <f>-C50</f>
        <v>0</v>
      </c>
      <c r="O70" s="46">
        <f t="array" ref="O70:O75">MMULT(MINVERSE(C70:H75),L70:L75)</f>
        <v>3713.2278657237202</v>
      </c>
      <c r="P70" s="7" t="s">
        <v>9</v>
      </c>
    </row>
    <row r="71" spans="2:16" x14ac:dyDescent="0.2">
      <c r="B71" s="5" t="s">
        <v>25</v>
      </c>
      <c r="C71" s="47">
        <v>0.84075826810222931</v>
      </c>
      <c r="D71" s="47">
        <v>0.98630540409624268</v>
      </c>
      <c r="E71" s="47">
        <v>0.91367807222555242</v>
      </c>
      <c r="F71" s="47">
        <v>0.99197418811233684</v>
      </c>
      <c r="G71" s="47">
        <v>0.57012789791581497</v>
      </c>
      <c r="H71" s="47">
        <v>0.99746005041801833</v>
      </c>
      <c r="J71" s="48" t="s">
        <v>32</v>
      </c>
      <c r="L71" s="49">
        <f>-D51</f>
        <v>0</v>
      </c>
      <c r="O71" s="50">
        <v>-416.57657179300895</v>
      </c>
      <c r="P71" s="7" t="s">
        <v>10</v>
      </c>
    </row>
    <row r="72" spans="2:16" x14ac:dyDescent="0.2">
      <c r="B72" s="5" t="s">
        <v>26</v>
      </c>
      <c r="C72" s="47">
        <v>5.1584985313964542E-2</v>
      </c>
      <c r="D72" s="51">
        <v>7.9482486776986508E-2</v>
      </c>
      <c r="E72" s="51">
        <v>-5.0028981218867848E-2</v>
      </c>
      <c r="F72" s="51">
        <v>4.4355041378270496E-2</v>
      </c>
      <c r="G72" s="51">
        <v>0.61814549087400306</v>
      </c>
      <c r="H72" s="51">
        <v>1.1709833959268317E-2</v>
      </c>
      <c r="J72" s="48" t="s">
        <v>33</v>
      </c>
      <c r="L72" s="49">
        <f>-E52</f>
        <v>-2207.25</v>
      </c>
      <c r="O72" s="50">
        <v>-140.89854354305521</v>
      </c>
      <c r="P72" s="7" t="s">
        <v>11</v>
      </c>
    </row>
    <row r="73" spans="2:16" x14ac:dyDescent="0.2">
      <c r="B73" s="5" t="s">
        <v>27</v>
      </c>
      <c r="C73" s="52" cm="1">
        <f t="array" ref="C73:C75">TRANSPOSE(cross_product(C35:E35,C25:E25))</f>
        <v>-216.60256928398081</v>
      </c>
      <c r="D73" s="52" cm="1">
        <f t="array" ref="D73:D75">TRANSPOSE(cross_product(C36:E36,C26:E26))</f>
        <v>-243.4427323058361</v>
      </c>
      <c r="E73" s="52" cm="1">
        <f t="array" ref="E73:E75">TRANSPOSE(cross_product(C37:E37,C27:E27))</f>
        <v>-129.50413037116206</v>
      </c>
      <c r="F73" s="52">
        <f t="array" ref="F73:F75">TRANSPOSE(cross_product(C38:E38,C28:E28))</f>
        <v>-83.374108580252752</v>
      </c>
      <c r="G73" s="52">
        <f t="array" ref="G73:G75">TRANSPOSE(cross_product(C39:E39,C29:E29))</f>
        <v>180.76944877536729</v>
      </c>
      <c r="H73" s="52">
        <f t="array" ref="H73:H75">TRANSPOSE(cross_product(C40:E40,C30:E30))</f>
        <v>-172.96425948642823</v>
      </c>
      <c r="I73" s="53" t="s">
        <v>30</v>
      </c>
      <c r="J73" s="48" t="s">
        <v>34</v>
      </c>
      <c r="K73" s="42" t="s">
        <v>37</v>
      </c>
      <c r="L73" s="49">
        <f>-SUM(C54:C56)</f>
        <v>-1345539.6</v>
      </c>
      <c r="O73" s="50">
        <v>-508.2005792321379</v>
      </c>
      <c r="P73" s="7" t="s">
        <v>12</v>
      </c>
    </row>
    <row r="74" spans="2:16" x14ac:dyDescent="0.2">
      <c r="B74" s="5" t="s">
        <v>28</v>
      </c>
      <c r="C74" s="54">
        <v>-157.42659622606487</v>
      </c>
      <c r="D74" s="54">
        <v>42.212426159195964</v>
      </c>
      <c r="E74" s="54">
        <v>-43.712926898825444</v>
      </c>
      <c r="F74" s="54">
        <v>12.44788827426094</v>
      </c>
      <c r="G74" s="54">
        <v>-158.07180680517254</v>
      </c>
      <c r="H74" s="54">
        <v>11.592735619675635</v>
      </c>
      <c r="J74" s="48" t="s">
        <v>35</v>
      </c>
      <c r="L74" s="49">
        <f>-SUM(D54:D56)</f>
        <v>0</v>
      </c>
      <c r="O74" s="50">
        <v>-3803.7249450869695</v>
      </c>
      <c r="P74" s="7" t="s">
        <v>13</v>
      </c>
    </row>
    <row r="75" spans="2:16" x14ac:dyDescent="0.2">
      <c r="B75" s="5" t="s">
        <v>29</v>
      </c>
      <c r="C75" s="55">
        <v>302.80663552352644</v>
      </c>
      <c r="D75" s="55">
        <v>-81.194684055775198</v>
      </c>
      <c r="E75" s="55">
        <v>245.77091900625243</v>
      </c>
      <c r="F75" s="55">
        <v>-55.823160618601705</v>
      </c>
      <c r="G75" s="55">
        <v>304.04768404612321</v>
      </c>
      <c r="H75" s="55">
        <v>50.300107004731274</v>
      </c>
      <c r="J75" s="56" t="s">
        <v>36</v>
      </c>
      <c r="L75" s="57">
        <f>-SUM(E54:E56)</f>
        <v>0</v>
      </c>
      <c r="O75" s="58">
        <v>90.642395457177145</v>
      </c>
      <c r="P75" s="7" t="s">
        <v>14</v>
      </c>
    </row>
    <row r="76" spans="2:16" x14ac:dyDescent="0.2">
      <c r="O76" s="59"/>
    </row>
    <row r="77" spans="2:16" x14ac:dyDescent="0.2">
      <c r="E77" s="60" t="s">
        <v>61</v>
      </c>
      <c r="F77" s="53"/>
      <c r="G77" s="53"/>
      <c r="H77" s="53"/>
      <c r="I77" s="53" t="s">
        <v>30</v>
      </c>
      <c r="J77" s="61" t="s">
        <v>62</v>
      </c>
      <c r="K77" s="42" t="s">
        <v>37</v>
      </c>
      <c r="L77" s="60" t="s">
        <v>99</v>
      </c>
      <c r="O77" s="62" t="s">
        <v>63</v>
      </c>
    </row>
    <row r="79" spans="2:16" x14ac:dyDescent="0.2">
      <c r="C79" s="59" t="s">
        <v>20</v>
      </c>
    </row>
    <row r="80" spans="2:16" x14ac:dyDescent="0.2">
      <c r="B80" s="63" t="s">
        <v>16</v>
      </c>
      <c r="C80" s="16">
        <v>300</v>
      </c>
      <c r="D80" s="5" t="s">
        <v>19</v>
      </c>
    </row>
    <row r="81" spans="1:26" x14ac:dyDescent="0.2">
      <c r="B81" s="63" t="s">
        <v>17</v>
      </c>
      <c r="C81" s="16">
        <v>0.29699999999999999</v>
      </c>
      <c r="D81" s="5" t="s">
        <v>15</v>
      </c>
    </row>
    <row r="82" spans="1:26" x14ac:dyDescent="0.2">
      <c r="B82" s="63" t="s">
        <v>97</v>
      </c>
      <c r="C82" s="16">
        <v>1.2190000000000001</v>
      </c>
      <c r="D82" s="5" t="s">
        <v>15</v>
      </c>
    </row>
    <row r="83" spans="1:26" x14ac:dyDescent="0.2">
      <c r="B83" s="63" t="s">
        <v>18</v>
      </c>
      <c r="C83" s="16">
        <v>1.524</v>
      </c>
      <c r="D83" s="5" t="s">
        <v>15</v>
      </c>
      <c r="E83" s="5" t="s">
        <v>98</v>
      </c>
    </row>
    <row r="84" spans="1:26" x14ac:dyDescent="0.2">
      <c r="B84" s="63" t="s">
        <v>60</v>
      </c>
      <c r="C84" s="16">
        <v>0.24</v>
      </c>
      <c r="D84" s="5" t="s">
        <v>15</v>
      </c>
      <c r="E84" s="16">
        <v>9.81</v>
      </c>
      <c r="F84" s="5" t="s">
        <v>15</v>
      </c>
    </row>
    <row r="86" spans="1:26" x14ac:dyDescent="0.2">
      <c r="A86" s="64">
        <v>1</v>
      </c>
      <c r="B86" s="64">
        <v>2</v>
      </c>
      <c r="C86" s="64">
        <v>3</v>
      </c>
      <c r="D86" s="64">
        <v>4</v>
      </c>
      <c r="E86" s="64">
        <v>5</v>
      </c>
      <c r="F86" s="64">
        <v>6</v>
      </c>
      <c r="G86" s="64">
        <v>7</v>
      </c>
      <c r="H86" s="64">
        <v>8</v>
      </c>
      <c r="I86" s="64">
        <v>9</v>
      </c>
      <c r="J86" s="64">
        <v>10</v>
      </c>
      <c r="K86" s="64">
        <v>11</v>
      </c>
      <c r="L86" s="64">
        <v>12</v>
      </c>
      <c r="M86" s="64">
        <v>13</v>
      </c>
      <c r="N86" s="64">
        <v>14</v>
      </c>
      <c r="O86" s="64">
        <v>15</v>
      </c>
      <c r="P86" s="64">
        <v>16</v>
      </c>
      <c r="Q86" s="64">
        <v>17</v>
      </c>
    </row>
    <row r="87" spans="1:26" x14ac:dyDescent="0.2">
      <c r="B87" s="12" t="s">
        <v>38</v>
      </c>
      <c r="C87" s="12" t="s">
        <v>39</v>
      </c>
      <c r="D87" s="12" t="s">
        <v>94</v>
      </c>
      <c r="E87" s="12" t="s">
        <v>95</v>
      </c>
      <c r="F87" s="12" t="s">
        <v>40</v>
      </c>
      <c r="G87" s="12" t="s">
        <v>41</v>
      </c>
      <c r="H87" s="12" t="s">
        <v>42</v>
      </c>
      <c r="I87" s="12" t="s">
        <v>77</v>
      </c>
      <c r="J87" s="12" t="s">
        <v>78</v>
      </c>
      <c r="K87" s="12" t="s">
        <v>76</v>
      </c>
      <c r="L87" s="12" t="s">
        <v>75</v>
      </c>
      <c r="M87" s="12" t="s">
        <v>74</v>
      </c>
      <c r="N87" s="12" t="s">
        <v>5</v>
      </c>
      <c r="O87" s="12" t="s">
        <v>6</v>
      </c>
      <c r="P87" s="12" t="s">
        <v>7</v>
      </c>
      <c r="Q87" s="12" t="s">
        <v>58</v>
      </c>
      <c r="S87" s="65"/>
      <c r="T87" s="59" t="s">
        <v>9</v>
      </c>
      <c r="U87" s="59" t="s">
        <v>10</v>
      </c>
      <c r="V87" s="59" t="s">
        <v>11</v>
      </c>
      <c r="W87" s="59" t="s">
        <v>12</v>
      </c>
      <c r="X87" s="59" t="s">
        <v>13</v>
      </c>
      <c r="Y87" s="59" t="s">
        <v>14</v>
      </c>
      <c r="Z87" s="66"/>
    </row>
    <row r="88" spans="1:26" ht="16" thickBot="1" x14ac:dyDescent="0.25">
      <c r="B88" s="12"/>
      <c r="C88" s="12"/>
      <c r="D88" s="67" t="s">
        <v>43</v>
      </c>
      <c r="E88" s="67" t="s">
        <v>44</v>
      </c>
      <c r="F88" s="12"/>
      <c r="G88" s="12"/>
      <c r="H88" s="12"/>
      <c r="I88" s="12"/>
      <c r="J88" s="12"/>
      <c r="K88" s="12"/>
      <c r="L88" s="12"/>
      <c r="M88" s="12"/>
      <c r="N88" s="12"/>
      <c r="O88" s="12"/>
      <c r="P88" s="7"/>
      <c r="Q88" s="12" t="s">
        <v>59</v>
      </c>
      <c r="S88" s="66"/>
      <c r="T88" s="68">
        <f t="array" ref="T88:Y88">TRANSPOSE(O70:O75)</f>
        <v>3713.2278657237202</v>
      </c>
      <c r="U88" s="64">
        <v>-416.57657179300895</v>
      </c>
      <c r="V88" s="64">
        <v>-140.89854354305521</v>
      </c>
      <c r="W88" s="64">
        <v>-508.2005792321379</v>
      </c>
      <c r="X88" s="64">
        <v>-3803.7249450869695</v>
      </c>
      <c r="Y88" s="64">
        <v>90.642395457177145</v>
      </c>
      <c r="Z88" s="69"/>
    </row>
    <row r="89" spans="1:26" x14ac:dyDescent="0.2">
      <c r="A89" s="64">
        <v>1</v>
      </c>
      <c r="B89" s="70" t="s">
        <v>45</v>
      </c>
      <c r="C89" s="71" t="s">
        <v>46</v>
      </c>
      <c r="D89" s="72"/>
      <c r="E89" s="72"/>
      <c r="F89" s="73"/>
      <c r="G89" s="72"/>
      <c r="H89" s="72"/>
      <c r="I89" s="72"/>
      <c r="J89" s="74"/>
      <c r="K89" s="74"/>
      <c r="L89" s="74"/>
      <c r="M89" s="74"/>
      <c r="N89" s="71">
        <v>0</v>
      </c>
      <c r="O89" s="72">
        <v>0</v>
      </c>
      <c r="P89" s="73">
        <v>0</v>
      </c>
      <c r="Q89" s="75">
        <v>0</v>
      </c>
      <c r="S89" s="69">
        <v>1</v>
      </c>
      <c r="T89" s="76">
        <f t="dataTable" ref="T89:Y110" dt2D="0" dtr="0" r1="C48"/>
        <v>9.9086101630890493</v>
      </c>
      <c r="U89" s="77">
        <v>13.656814508741135</v>
      </c>
      <c r="V89" s="77">
        <v>36.331868220396359</v>
      </c>
      <c r="W89" s="77">
        <v>-66.163720867223304</v>
      </c>
      <c r="X89" s="77">
        <v>-20.922392107380762</v>
      </c>
      <c r="Y89" s="78">
        <v>7.5842391175880692</v>
      </c>
      <c r="Z89" s="79">
        <v>0</v>
      </c>
    </row>
    <row r="90" spans="1:26" x14ac:dyDescent="0.2">
      <c r="A90" s="64">
        <v>2</v>
      </c>
      <c r="B90" s="80" t="s">
        <v>47</v>
      </c>
      <c r="C90" s="81" t="s">
        <v>46</v>
      </c>
      <c r="D90" s="82"/>
      <c r="E90" s="82"/>
      <c r="F90" s="83"/>
      <c r="G90" s="82"/>
      <c r="H90" s="82"/>
      <c r="I90" s="82">
        <f t="shared" ref="I90:I110" si="8">$C$80*E90*$E$84*$C$81/$C$82</f>
        <v>0</v>
      </c>
      <c r="J90" s="84">
        <f t="shared" ref="J90:J110" si="9">$C$80*D90*$E$84*$C$81/$C$83</f>
        <v>0</v>
      </c>
      <c r="K90" s="84">
        <f t="shared" ref="K90:K110" si="10">P90/($C$80*$E$84)</f>
        <v>0.25</v>
      </c>
      <c r="L90" s="84">
        <f>$C$80*D90*$E$84</f>
        <v>0</v>
      </c>
      <c r="M90" s="84">
        <f>$C$80*E90*$E$84</f>
        <v>0</v>
      </c>
      <c r="N90" s="82">
        <f>L90*K90</f>
        <v>0</v>
      </c>
      <c r="O90" s="82">
        <f>M90*K90</f>
        <v>0</v>
      </c>
      <c r="P90" s="83">
        <f t="shared" ref="P90:P110" si="11">($C$80*$E$84/4+(I90+J90)/2)</f>
        <v>735.75</v>
      </c>
      <c r="Q90" s="85">
        <v>0</v>
      </c>
      <c r="S90" s="69">
        <v>2</v>
      </c>
      <c r="T90" s="86">
        <v>1237.7426219079068</v>
      </c>
      <c r="U90" s="87">
        <v>-138.85885726433639</v>
      </c>
      <c r="V90" s="87">
        <v>-46.966181181018442</v>
      </c>
      <c r="W90" s="87">
        <v>-169.40019307737907</v>
      </c>
      <c r="X90" s="87">
        <v>-1267.9083150289896</v>
      </c>
      <c r="Y90" s="88">
        <v>30.214131819059048</v>
      </c>
      <c r="Z90" s="79">
        <v>0</v>
      </c>
    </row>
    <row r="91" spans="1:26" x14ac:dyDescent="0.2">
      <c r="A91" s="64">
        <v>3</v>
      </c>
      <c r="B91" s="89" t="s">
        <v>48</v>
      </c>
      <c r="C91" s="90" t="s">
        <v>46</v>
      </c>
      <c r="D91" s="91">
        <v>-1.25</v>
      </c>
      <c r="E91" s="91">
        <v>0</v>
      </c>
      <c r="F91" s="92"/>
      <c r="G91" s="93"/>
      <c r="H91" s="93"/>
      <c r="I91" s="93">
        <f t="shared" si="8"/>
        <v>0</v>
      </c>
      <c r="J91" s="93">
        <f t="shared" si="9"/>
        <v>-716.92175196850383</v>
      </c>
      <c r="K91" s="93">
        <f t="shared" si="10"/>
        <v>0.12819881889763782</v>
      </c>
      <c r="L91" s="93">
        <f t="shared" ref="L91:M110" si="12">$C$80*D91*$E$84</f>
        <v>-3678.75</v>
      </c>
      <c r="M91" s="93">
        <f t="shared" si="12"/>
        <v>0</v>
      </c>
      <c r="N91" s="93">
        <f t="shared" ref="N91:N110" si="13">L91*K91</f>
        <v>-471.61140501968509</v>
      </c>
      <c r="O91" s="93">
        <f t="shared" ref="O91:O110" si="14">M91*K91</f>
        <v>0</v>
      </c>
      <c r="P91" s="93">
        <f t="shared" si="11"/>
        <v>377.28912401574809</v>
      </c>
      <c r="Q91" s="94"/>
      <c r="S91" s="69">
        <v>3</v>
      </c>
      <c r="T91" s="95">
        <v>1269.1555446760337</v>
      </c>
      <c r="U91" s="96">
        <v>-428.28047376632321</v>
      </c>
      <c r="V91" s="96">
        <v>-1479.6913305667806</v>
      </c>
      <c r="W91" s="96">
        <v>1306.2041948339006</v>
      </c>
      <c r="X91" s="96">
        <v>-872.96136652873679</v>
      </c>
      <c r="Y91" s="97">
        <v>-90.928319714611916</v>
      </c>
      <c r="Z91" s="79">
        <v>0</v>
      </c>
    </row>
    <row r="92" spans="1:26" x14ac:dyDescent="0.2">
      <c r="A92" s="64">
        <v>4</v>
      </c>
      <c r="B92" s="89" t="s">
        <v>49</v>
      </c>
      <c r="C92" s="90" t="s">
        <v>46</v>
      </c>
      <c r="D92" s="91">
        <v>0</v>
      </c>
      <c r="E92" s="91">
        <v>2</v>
      </c>
      <c r="F92" s="92"/>
      <c r="G92" s="93"/>
      <c r="H92" s="93"/>
      <c r="I92" s="93">
        <f t="shared" si="8"/>
        <v>1434.0787530762918</v>
      </c>
      <c r="J92" s="93">
        <f t="shared" si="9"/>
        <v>0</v>
      </c>
      <c r="K92" s="93">
        <f t="shared" si="10"/>
        <v>0.49364232977850692</v>
      </c>
      <c r="L92" s="93">
        <f t="shared" si="12"/>
        <v>0</v>
      </c>
      <c r="M92" s="93">
        <f t="shared" si="12"/>
        <v>5886</v>
      </c>
      <c r="N92" s="93">
        <f t="shared" si="13"/>
        <v>0</v>
      </c>
      <c r="O92" s="93">
        <f t="shared" si="14"/>
        <v>2905.5787530762918</v>
      </c>
      <c r="P92" s="93">
        <f t="shared" si="11"/>
        <v>1452.7893765381459</v>
      </c>
      <c r="Q92" s="94"/>
      <c r="S92" s="69">
        <v>4</v>
      </c>
      <c r="T92" s="95">
        <v>2797.6886885927483</v>
      </c>
      <c r="U92" s="96">
        <v>902.88231955519541</v>
      </c>
      <c r="V92" s="96">
        <v>-1227.2983788575698</v>
      </c>
      <c r="W92" s="96">
        <v>-4426.6869716469555</v>
      </c>
      <c r="X92" s="96">
        <v>-2496.4534504257435</v>
      </c>
      <c r="Y92" s="97">
        <v>789.54162479587842</v>
      </c>
      <c r="Z92" s="79">
        <v>0</v>
      </c>
    </row>
    <row r="93" spans="1:26" x14ac:dyDescent="0.2">
      <c r="A93" s="64">
        <v>5</v>
      </c>
      <c r="B93" s="89" t="s">
        <v>50</v>
      </c>
      <c r="C93" s="90" t="s">
        <v>46</v>
      </c>
      <c r="D93" s="91">
        <v>0</v>
      </c>
      <c r="E93" s="91">
        <v>0</v>
      </c>
      <c r="F93" s="92"/>
      <c r="G93" s="93"/>
      <c r="H93" s="93"/>
      <c r="I93" s="93">
        <f t="shared" si="8"/>
        <v>0</v>
      </c>
      <c r="J93" s="93">
        <f t="shared" si="9"/>
        <v>0</v>
      </c>
      <c r="K93" s="93">
        <f t="shared" si="10"/>
        <v>0.25</v>
      </c>
      <c r="L93" s="93">
        <f t="shared" si="12"/>
        <v>0</v>
      </c>
      <c r="M93" s="93">
        <f t="shared" si="12"/>
        <v>0</v>
      </c>
      <c r="N93" s="93">
        <f t="shared" si="13"/>
        <v>0</v>
      </c>
      <c r="O93" s="93">
        <f t="shared" si="14"/>
        <v>0</v>
      </c>
      <c r="P93" s="93">
        <f t="shared" si="11"/>
        <v>735.75</v>
      </c>
      <c r="Q93" s="94"/>
      <c r="S93" s="69">
        <v>5</v>
      </c>
      <c r="T93" s="95">
        <v>1237.7426219079068</v>
      </c>
      <c r="U93" s="96">
        <v>-138.85885726433639</v>
      </c>
      <c r="V93" s="96">
        <v>-46.966181181018442</v>
      </c>
      <c r="W93" s="96">
        <v>-169.40019307737907</v>
      </c>
      <c r="X93" s="96">
        <v>-1267.9083150289896</v>
      </c>
      <c r="Y93" s="97">
        <v>30.214131819059048</v>
      </c>
      <c r="Z93" s="79">
        <v>0</v>
      </c>
    </row>
    <row r="94" spans="1:26" x14ac:dyDescent="0.2">
      <c r="A94" s="64">
        <v>6</v>
      </c>
      <c r="B94" s="98" t="s">
        <v>51</v>
      </c>
      <c r="C94" s="90" t="s">
        <v>46</v>
      </c>
      <c r="D94" s="91">
        <v>1</v>
      </c>
      <c r="E94" s="91">
        <v>0</v>
      </c>
      <c r="F94" s="92"/>
      <c r="G94" s="93"/>
      <c r="H94" s="93"/>
      <c r="I94" s="93">
        <f t="shared" si="8"/>
        <v>0</v>
      </c>
      <c r="J94" s="93">
        <f t="shared" si="9"/>
        <v>573.53740157480308</v>
      </c>
      <c r="K94" s="93">
        <f t="shared" si="10"/>
        <v>0.34744094488188976</v>
      </c>
      <c r="L94" s="93">
        <f t="shared" si="12"/>
        <v>2943</v>
      </c>
      <c r="M94" s="93">
        <f t="shared" si="12"/>
        <v>0</v>
      </c>
      <c r="N94" s="93">
        <f t="shared" si="13"/>
        <v>1022.5187007874016</v>
      </c>
      <c r="O94" s="93">
        <f t="shared" si="14"/>
        <v>0</v>
      </c>
      <c r="P94" s="93">
        <f t="shared" si="11"/>
        <v>1022.5187007874015</v>
      </c>
      <c r="Q94" s="94"/>
      <c r="S94" s="69">
        <v>6</v>
      </c>
      <c r="T94" s="95">
        <v>344.60114295443236</v>
      </c>
      <c r="U94" s="96">
        <v>581.20543515177451</v>
      </c>
      <c r="V94" s="96">
        <v>3090.685876319852</v>
      </c>
      <c r="W94" s="96">
        <v>-3255.7984609550308</v>
      </c>
      <c r="X94" s="96">
        <v>-1279.0666113714478</v>
      </c>
      <c r="Y94" s="97">
        <v>272.72807390870184</v>
      </c>
      <c r="Z94" s="79">
        <v>0</v>
      </c>
    </row>
    <row r="95" spans="1:26" x14ac:dyDescent="0.2">
      <c r="A95" s="99">
        <v>7</v>
      </c>
      <c r="B95" s="100" t="s">
        <v>52</v>
      </c>
      <c r="C95" s="101" t="s">
        <v>46</v>
      </c>
      <c r="D95" s="102">
        <v>-1</v>
      </c>
      <c r="E95" s="102">
        <v>1</v>
      </c>
      <c r="F95" s="103"/>
      <c r="G95" s="104"/>
      <c r="H95" s="104"/>
      <c r="I95" s="104">
        <f t="shared" si="8"/>
        <v>717.03937653814592</v>
      </c>
      <c r="J95" s="104">
        <f t="shared" si="9"/>
        <v>-573.53740157480308</v>
      </c>
      <c r="K95" s="104">
        <f t="shared" si="10"/>
        <v>0.27438022000736373</v>
      </c>
      <c r="L95" s="104">
        <f t="shared" si="12"/>
        <v>-2943</v>
      </c>
      <c r="M95" s="104">
        <f t="shared" si="12"/>
        <v>2943</v>
      </c>
      <c r="N95" s="104">
        <f t="shared" si="13"/>
        <v>-807.50098748167147</v>
      </c>
      <c r="O95" s="104">
        <f t="shared" si="14"/>
        <v>807.50098748167147</v>
      </c>
      <c r="P95" s="104">
        <f t="shared" si="11"/>
        <v>807.50098748167147</v>
      </c>
      <c r="Q95" s="105"/>
      <c r="S95" s="69">
        <v>7</v>
      </c>
      <c r="T95" s="95">
        <v>2543.0518080201309</v>
      </c>
      <c r="U95" s="96">
        <v>-436.66526007872608</v>
      </c>
      <c r="V95" s="96">
        <v>-2859.1718888049627</v>
      </c>
      <c r="W95" s="96">
        <v>1062.0426443979832</v>
      </c>
      <c r="X95" s="96">
        <v>-1771.0317353827536</v>
      </c>
      <c r="Y95" s="97">
        <v>53.78747202030172</v>
      </c>
      <c r="Z95" s="79">
        <v>0</v>
      </c>
    </row>
    <row r="96" spans="1:26" x14ac:dyDescent="0.2">
      <c r="A96" s="64">
        <v>8</v>
      </c>
      <c r="B96" s="98" t="s">
        <v>53</v>
      </c>
      <c r="C96" s="90" t="s">
        <v>46</v>
      </c>
      <c r="D96" s="91">
        <v>0.2</v>
      </c>
      <c r="E96" s="91">
        <v>1</v>
      </c>
      <c r="F96" s="92"/>
      <c r="G96" s="106"/>
      <c r="H96" s="106"/>
      <c r="I96" s="93">
        <f t="shared" si="8"/>
        <v>717.03937653814592</v>
      </c>
      <c r="J96" s="93">
        <f t="shared" si="9"/>
        <v>114.70748031496063</v>
      </c>
      <c r="K96" s="93">
        <f t="shared" si="10"/>
        <v>0.39130935386563143</v>
      </c>
      <c r="L96" s="106">
        <f t="shared" si="12"/>
        <v>588.6</v>
      </c>
      <c r="M96" s="93">
        <f t="shared" si="12"/>
        <v>2943</v>
      </c>
      <c r="N96" s="93">
        <f t="shared" si="13"/>
        <v>230.32468568531067</v>
      </c>
      <c r="O96" s="93">
        <f t="shared" si="14"/>
        <v>1151.6234284265533</v>
      </c>
      <c r="P96" s="93">
        <f t="shared" si="11"/>
        <v>1151.6234284265533</v>
      </c>
      <c r="Q96" s="94"/>
      <c r="S96" s="69">
        <v>8</v>
      </c>
      <c r="T96" s="95">
        <v>1767.6918196334325</v>
      </c>
      <c r="U96" s="96">
        <v>423.57030055349037</v>
      </c>
      <c r="V96" s="96">
        <v>187.69155692330969</v>
      </c>
      <c r="W96" s="96">
        <v>-2567.4347887176564</v>
      </c>
      <c r="X96" s="96">
        <v>-1872.9529483117735</v>
      </c>
      <c r="Y96" s="97">
        <v>388.55439837419658</v>
      </c>
      <c r="Z96" s="79">
        <v>0</v>
      </c>
    </row>
    <row r="97" spans="1:26" x14ac:dyDescent="0.2">
      <c r="A97" s="64">
        <v>9</v>
      </c>
      <c r="B97" s="98"/>
      <c r="C97" s="90" t="s">
        <v>46</v>
      </c>
      <c r="D97" s="91"/>
      <c r="E97" s="91"/>
      <c r="F97" s="92"/>
      <c r="G97" s="106"/>
      <c r="H97" s="106"/>
      <c r="I97" s="93">
        <f t="shared" si="8"/>
        <v>0</v>
      </c>
      <c r="J97" s="93">
        <f t="shared" si="9"/>
        <v>0</v>
      </c>
      <c r="K97" s="93">
        <f t="shared" si="10"/>
        <v>0.25</v>
      </c>
      <c r="L97" s="106">
        <f t="shared" si="12"/>
        <v>0</v>
      </c>
      <c r="M97" s="93">
        <f t="shared" si="12"/>
        <v>0</v>
      </c>
      <c r="N97" s="93">
        <f t="shared" si="13"/>
        <v>0</v>
      </c>
      <c r="O97" s="93">
        <f t="shared" si="14"/>
        <v>0</v>
      </c>
      <c r="P97" s="93">
        <f t="shared" si="11"/>
        <v>735.75</v>
      </c>
      <c r="Q97" s="94"/>
      <c r="S97" s="69">
        <v>9</v>
      </c>
      <c r="T97" s="95">
        <v>1237.7426219079068</v>
      </c>
      <c r="U97" s="96">
        <v>-138.85885726433639</v>
      </c>
      <c r="V97" s="96">
        <v>-46.966181181018442</v>
      </c>
      <c r="W97" s="96">
        <v>-169.40019307737907</v>
      </c>
      <c r="X97" s="96">
        <v>-1267.9083150289896</v>
      </c>
      <c r="Y97" s="97">
        <v>30.214131819059048</v>
      </c>
      <c r="Z97" s="79">
        <v>0</v>
      </c>
    </row>
    <row r="98" spans="1:26" x14ac:dyDescent="0.2">
      <c r="A98" s="64">
        <v>10</v>
      </c>
      <c r="B98" s="98"/>
      <c r="C98" s="90" t="s">
        <v>46</v>
      </c>
      <c r="D98" s="91"/>
      <c r="E98" s="91"/>
      <c r="F98" s="92"/>
      <c r="G98" s="106"/>
      <c r="H98" s="106"/>
      <c r="I98" s="93">
        <f t="shared" si="8"/>
        <v>0</v>
      </c>
      <c r="J98" s="93">
        <f t="shared" si="9"/>
        <v>0</v>
      </c>
      <c r="K98" s="93">
        <f t="shared" si="10"/>
        <v>0.25</v>
      </c>
      <c r="L98" s="106">
        <f t="shared" si="12"/>
        <v>0</v>
      </c>
      <c r="M98" s="93">
        <f t="shared" si="12"/>
        <v>0</v>
      </c>
      <c r="N98" s="93">
        <f t="shared" si="13"/>
        <v>0</v>
      </c>
      <c r="O98" s="93">
        <f t="shared" si="14"/>
        <v>0</v>
      </c>
      <c r="P98" s="93">
        <f t="shared" si="11"/>
        <v>735.75</v>
      </c>
      <c r="Q98" s="94"/>
      <c r="S98" s="69">
        <v>10</v>
      </c>
      <c r="T98" s="95">
        <v>1237.7426219079068</v>
      </c>
      <c r="U98" s="96">
        <v>-138.85885726433639</v>
      </c>
      <c r="V98" s="96">
        <v>-46.966181181018442</v>
      </c>
      <c r="W98" s="96">
        <v>-169.40019307737907</v>
      </c>
      <c r="X98" s="96">
        <v>-1267.9083150289896</v>
      </c>
      <c r="Y98" s="97">
        <v>30.214131819059048</v>
      </c>
      <c r="Z98" s="79">
        <v>0</v>
      </c>
    </row>
    <row r="99" spans="1:26" x14ac:dyDescent="0.2">
      <c r="A99" s="64">
        <v>11</v>
      </c>
      <c r="B99" s="98"/>
      <c r="C99" s="90" t="s">
        <v>46</v>
      </c>
      <c r="D99" s="91"/>
      <c r="E99" s="91"/>
      <c r="F99" s="92"/>
      <c r="G99" s="106"/>
      <c r="H99" s="106"/>
      <c r="I99" s="93">
        <f t="shared" si="8"/>
        <v>0</v>
      </c>
      <c r="J99" s="93">
        <f t="shared" si="9"/>
        <v>0</v>
      </c>
      <c r="K99" s="93">
        <f t="shared" si="10"/>
        <v>0.25</v>
      </c>
      <c r="L99" s="106">
        <f t="shared" si="12"/>
        <v>0</v>
      </c>
      <c r="M99" s="93">
        <f t="shared" si="12"/>
        <v>0</v>
      </c>
      <c r="N99" s="93">
        <f t="shared" si="13"/>
        <v>0</v>
      </c>
      <c r="O99" s="93">
        <f t="shared" si="14"/>
        <v>0</v>
      </c>
      <c r="P99" s="93">
        <f t="shared" si="11"/>
        <v>735.75</v>
      </c>
      <c r="Q99" s="94"/>
      <c r="S99" s="69">
        <v>11</v>
      </c>
      <c r="T99" s="95">
        <v>1237.7426219079068</v>
      </c>
      <c r="U99" s="96">
        <v>-138.85885726433639</v>
      </c>
      <c r="V99" s="96">
        <v>-46.966181181018442</v>
      </c>
      <c r="W99" s="96">
        <v>-169.40019307737907</v>
      </c>
      <c r="X99" s="96">
        <v>-1267.9083150289896</v>
      </c>
      <c r="Y99" s="97">
        <v>30.214131819059048</v>
      </c>
      <c r="Z99" s="79">
        <v>0</v>
      </c>
    </row>
    <row r="100" spans="1:26" x14ac:dyDescent="0.2">
      <c r="A100" s="64">
        <v>12</v>
      </c>
      <c r="B100" s="98"/>
      <c r="C100" s="107" t="s">
        <v>46</v>
      </c>
      <c r="D100" s="108"/>
      <c r="E100" s="108"/>
      <c r="F100" s="109"/>
      <c r="G100" s="106"/>
      <c r="H100" s="106"/>
      <c r="I100" s="93">
        <f t="shared" si="8"/>
        <v>0</v>
      </c>
      <c r="J100" s="93">
        <f t="shared" si="9"/>
        <v>0</v>
      </c>
      <c r="K100" s="93">
        <f t="shared" si="10"/>
        <v>0.25</v>
      </c>
      <c r="L100" s="106">
        <f t="shared" si="12"/>
        <v>0</v>
      </c>
      <c r="M100" s="93">
        <f t="shared" si="12"/>
        <v>0</v>
      </c>
      <c r="N100" s="93">
        <f t="shared" si="13"/>
        <v>0</v>
      </c>
      <c r="O100" s="93">
        <f t="shared" si="14"/>
        <v>0</v>
      </c>
      <c r="P100" s="93">
        <f t="shared" si="11"/>
        <v>735.75</v>
      </c>
      <c r="Q100" s="94"/>
      <c r="S100" s="69">
        <v>12</v>
      </c>
      <c r="T100" s="86">
        <v>1237.7426219079068</v>
      </c>
      <c r="U100" s="87">
        <v>-138.85885726433639</v>
      </c>
      <c r="V100" s="87">
        <v>-46.966181181018442</v>
      </c>
      <c r="W100" s="87">
        <v>-169.40019307737907</v>
      </c>
      <c r="X100" s="87">
        <v>-1267.9083150289896</v>
      </c>
      <c r="Y100" s="88">
        <v>30.214131819059048</v>
      </c>
      <c r="Z100" s="79">
        <v>0</v>
      </c>
    </row>
    <row r="101" spans="1:26" x14ac:dyDescent="0.2">
      <c r="A101" s="64">
        <v>13</v>
      </c>
      <c r="B101" s="110" t="s">
        <v>48</v>
      </c>
      <c r="C101" s="111" t="s">
        <v>54</v>
      </c>
      <c r="D101" s="112">
        <v>-1.9</v>
      </c>
      <c r="E101" s="112">
        <v>0</v>
      </c>
      <c r="F101" s="113"/>
      <c r="G101" s="114"/>
      <c r="H101" s="114"/>
      <c r="I101" s="114">
        <f t="shared" si="8"/>
        <v>0</v>
      </c>
      <c r="J101" s="114">
        <f t="shared" si="9"/>
        <v>-1089.721062992126</v>
      </c>
      <c r="K101" s="114">
        <f t="shared" si="10"/>
        <v>6.4862204724409442E-2</v>
      </c>
      <c r="L101" s="114">
        <f t="shared" si="12"/>
        <v>-5591.7000000000007</v>
      </c>
      <c r="M101" s="114">
        <f t="shared" si="12"/>
        <v>0</v>
      </c>
      <c r="N101" s="114">
        <f t="shared" si="13"/>
        <v>-362.68999015748034</v>
      </c>
      <c r="O101" s="114">
        <f t="shared" si="14"/>
        <v>0</v>
      </c>
      <c r="P101" s="114">
        <f t="shared" si="11"/>
        <v>190.889468503937</v>
      </c>
      <c r="Q101" s="115"/>
      <c r="S101" s="69">
        <v>13</v>
      </c>
      <c r="T101" s="95">
        <v>809.04859393206789</v>
      </c>
      <c r="U101" s="96">
        <v>-310.63267255627522</v>
      </c>
      <c r="V101" s="96">
        <v>-1131.6115889494019</v>
      </c>
      <c r="W101" s="96">
        <v>1027.3830429599634</v>
      </c>
      <c r="X101" s="96">
        <v>-500.28802480402101</v>
      </c>
      <c r="Y101" s="97">
        <v>-74.004182794145436</v>
      </c>
      <c r="Z101" s="79">
        <v>0</v>
      </c>
    </row>
    <row r="102" spans="1:26" x14ac:dyDescent="0.2">
      <c r="A102" s="64">
        <v>14</v>
      </c>
      <c r="B102" s="89" t="s">
        <v>49</v>
      </c>
      <c r="C102" s="90" t="s">
        <v>54</v>
      </c>
      <c r="D102" s="91">
        <v>0</v>
      </c>
      <c r="E102" s="91">
        <v>2.75</v>
      </c>
      <c r="F102" s="92"/>
      <c r="G102" s="93"/>
      <c r="H102" s="93"/>
      <c r="I102" s="93">
        <f t="shared" si="8"/>
        <v>1971.8582854799013</v>
      </c>
      <c r="J102" s="93">
        <f t="shared" si="9"/>
        <v>0</v>
      </c>
      <c r="K102" s="93">
        <f t="shared" si="10"/>
        <v>0.58500820344544713</v>
      </c>
      <c r="L102" s="93">
        <f t="shared" si="12"/>
        <v>0</v>
      </c>
      <c r="M102" s="93">
        <f t="shared" si="12"/>
        <v>8093.25</v>
      </c>
      <c r="N102" s="93">
        <f t="shared" si="13"/>
        <v>0</v>
      </c>
      <c r="O102" s="93">
        <f t="shared" si="14"/>
        <v>4734.6176425348649</v>
      </c>
      <c r="P102" s="93">
        <f t="shared" si="11"/>
        <v>1721.6791427399507</v>
      </c>
      <c r="Q102" s="94"/>
      <c r="S102" s="69">
        <v>14</v>
      </c>
      <c r="T102" s="95">
        <v>3472.6772527493381</v>
      </c>
      <c r="U102" s="96">
        <v>1593.0899686150469</v>
      </c>
      <c r="V102" s="96">
        <v>-1958.659618579389</v>
      </c>
      <c r="W102" s="96">
        <v>-7064.6007236864343</v>
      </c>
      <c r="X102" s="96">
        <v>-2955.3460430921182</v>
      </c>
      <c r="Y102" s="97">
        <v>1260.0385727835405</v>
      </c>
      <c r="Z102" s="79">
        <v>0</v>
      </c>
    </row>
    <row r="103" spans="1:26" x14ac:dyDescent="0.2">
      <c r="A103" s="64">
        <v>15</v>
      </c>
      <c r="B103" s="89" t="s">
        <v>50</v>
      </c>
      <c r="C103" s="90" t="s">
        <v>54</v>
      </c>
      <c r="D103" s="91">
        <v>0</v>
      </c>
      <c r="E103" s="91">
        <v>0</v>
      </c>
      <c r="F103" s="92"/>
      <c r="G103" s="93"/>
      <c r="H103" s="93"/>
      <c r="I103" s="93">
        <f t="shared" si="8"/>
        <v>0</v>
      </c>
      <c r="J103" s="93">
        <f t="shared" si="9"/>
        <v>0</v>
      </c>
      <c r="K103" s="93">
        <f t="shared" si="10"/>
        <v>0.25</v>
      </c>
      <c r="L103" s="93">
        <f t="shared" si="12"/>
        <v>0</v>
      </c>
      <c r="M103" s="93">
        <f t="shared" si="12"/>
        <v>0</v>
      </c>
      <c r="N103" s="93">
        <f t="shared" si="13"/>
        <v>0</v>
      </c>
      <c r="O103" s="93">
        <f t="shared" si="14"/>
        <v>0</v>
      </c>
      <c r="P103" s="93">
        <f t="shared" si="11"/>
        <v>735.75</v>
      </c>
      <c r="Q103" s="94"/>
      <c r="S103" s="69">
        <v>15</v>
      </c>
      <c r="T103" s="95">
        <v>1237.7426219079068</v>
      </c>
      <c r="U103" s="96">
        <v>-138.85885726433639</v>
      </c>
      <c r="V103" s="96">
        <v>-46.966181181018442</v>
      </c>
      <c r="W103" s="96">
        <v>-169.40019307737907</v>
      </c>
      <c r="X103" s="96">
        <v>-1267.9083150289896</v>
      </c>
      <c r="Y103" s="97">
        <v>30.214131819059048</v>
      </c>
      <c r="Z103" s="79">
        <v>0</v>
      </c>
    </row>
    <row r="104" spans="1:26" x14ac:dyDescent="0.2">
      <c r="A104" s="64">
        <v>16</v>
      </c>
      <c r="B104" s="98" t="s">
        <v>51</v>
      </c>
      <c r="C104" s="90" t="s">
        <v>54</v>
      </c>
      <c r="D104" s="91">
        <v>1.5</v>
      </c>
      <c r="E104" s="91">
        <v>0</v>
      </c>
      <c r="F104" s="92"/>
      <c r="G104" s="93"/>
      <c r="H104" s="93"/>
      <c r="I104" s="93">
        <f t="shared" si="8"/>
        <v>0</v>
      </c>
      <c r="J104" s="93">
        <f t="shared" si="9"/>
        <v>860.30610236220468</v>
      </c>
      <c r="K104" s="93">
        <f t="shared" si="10"/>
        <v>0.39616141732283466</v>
      </c>
      <c r="L104" s="93">
        <f t="shared" si="12"/>
        <v>4414.5</v>
      </c>
      <c r="M104" s="93">
        <f t="shared" si="12"/>
        <v>0</v>
      </c>
      <c r="N104" s="93">
        <f t="shared" si="13"/>
        <v>1748.8545767716537</v>
      </c>
      <c r="O104" s="93">
        <f t="shared" si="14"/>
        <v>0</v>
      </c>
      <c r="P104" s="93">
        <f t="shared" si="11"/>
        <v>1165.9030511811025</v>
      </c>
      <c r="Q104" s="94"/>
      <c r="S104" s="69">
        <v>16</v>
      </c>
      <c r="T104" s="95">
        <v>-391.30664343529588</v>
      </c>
      <c r="U104" s="96">
        <v>1104.079914431336</v>
      </c>
      <c r="V104" s="96">
        <v>5323.3358844010418</v>
      </c>
      <c r="W104" s="96">
        <v>-5434.3025140767322</v>
      </c>
      <c r="X104" s="96">
        <v>-1183.0460053900956</v>
      </c>
      <c r="Y104" s="97">
        <v>442.51837190776314</v>
      </c>
      <c r="Z104" s="79">
        <v>0</v>
      </c>
    </row>
    <row r="105" spans="1:26" x14ac:dyDescent="0.2">
      <c r="A105" s="64">
        <v>17</v>
      </c>
      <c r="B105" s="98" t="s">
        <v>52</v>
      </c>
      <c r="C105" s="90" t="s">
        <v>54</v>
      </c>
      <c r="D105" s="91">
        <v>-0.5</v>
      </c>
      <c r="E105" s="91">
        <v>2.5</v>
      </c>
      <c r="F105" s="92"/>
      <c r="G105" s="93"/>
      <c r="H105" s="93"/>
      <c r="I105" s="93">
        <f t="shared" si="8"/>
        <v>1792.5984413453648</v>
      </c>
      <c r="J105" s="93">
        <f t="shared" si="9"/>
        <v>-286.76870078740154</v>
      </c>
      <c r="K105" s="93">
        <f t="shared" si="10"/>
        <v>0.50583243978218884</v>
      </c>
      <c r="L105" s="93">
        <f t="shared" si="12"/>
        <v>-1471.5</v>
      </c>
      <c r="M105" s="93">
        <f t="shared" si="12"/>
        <v>7357.5</v>
      </c>
      <c r="N105" s="93">
        <f t="shared" si="13"/>
        <v>-744.33243513949083</v>
      </c>
      <c r="O105" s="93">
        <f t="shared" si="14"/>
        <v>3721.6621756974546</v>
      </c>
      <c r="P105" s="93">
        <f t="shared" si="11"/>
        <v>1488.6648702789817</v>
      </c>
      <c r="Q105" s="94"/>
      <c r="S105" s="69">
        <v>17</v>
      </c>
      <c r="T105" s="95">
        <v>3958.7106257472064</v>
      </c>
      <c r="U105" s="96">
        <v>663.15076566606035</v>
      </c>
      <c r="V105" s="96">
        <v>-3845.5983516541264</v>
      </c>
      <c r="W105" s="96">
        <v>-3385.662299685403</v>
      </c>
      <c r="X105" s="96">
        <v>-2907.8919540313859</v>
      </c>
      <c r="Y105" s="97">
        <v>828.05198763860153</v>
      </c>
      <c r="Z105" s="79">
        <v>0</v>
      </c>
    </row>
    <row r="106" spans="1:26" x14ac:dyDescent="0.2">
      <c r="A106" s="64">
        <v>18</v>
      </c>
      <c r="B106" s="98" t="s">
        <v>53</v>
      </c>
      <c r="C106" s="90" t="s">
        <v>54</v>
      </c>
      <c r="D106" s="91">
        <v>0.2</v>
      </c>
      <c r="E106" s="91">
        <v>2.2000000000000002</v>
      </c>
      <c r="F106" s="92"/>
      <c r="G106" s="93"/>
      <c r="H106" s="93"/>
      <c r="I106" s="93">
        <f t="shared" si="8"/>
        <v>1577.4866283839212</v>
      </c>
      <c r="J106" s="93">
        <f t="shared" si="9"/>
        <v>114.70748031496063</v>
      </c>
      <c r="K106" s="93">
        <f t="shared" si="10"/>
        <v>0.53749475173273564</v>
      </c>
      <c r="L106" s="93">
        <f t="shared" si="12"/>
        <v>588.6</v>
      </c>
      <c r="M106" s="93">
        <f t="shared" si="12"/>
        <v>6474.6</v>
      </c>
      <c r="N106" s="93">
        <f t="shared" si="13"/>
        <v>316.36941086988821</v>
      </c>
      <c r="O106" s="93">
        <f t="shared" si="14"/>
        <v>3480.0635195687705</v>
      </c>
      <c r="P106" s="93">
        <f t="shared" si="11"/>
        <v>1581.8470543494409</v>
      </c>
      <c r="Q106" s="94"/>
      <c r="S106" s="69">
        <v>18</v>
      </c>
      <c r="T106" s="95">
        <v>2659.1257779548814</v>
      </c>
      <c r="U106" s="96">
        <v>1350.7875229445572</v>
      </c>
      <c r="V106" s="96">
        <v>-483.39964440221638</v>
      </c>
      <c r="W106" s="96">
        <v>-6200.0107274033044</v>
      </c>
      <c r="X106" s="96">
        <v>-2567.9998336883805</v>
      </c>
      <c r="Y106" s="97">
        <v>1010.5428006344659</v>
      </c>
      <c r="Z106" s="79">
        <v>0</v>
      </c>
    </row>
    <row r="107" spans="1:26" x14ac:dyDescent="0.2">
      <c r="A107" s="64">
        <v>19</v>
      </c>
      <c r="B107" s="98" t="s">
        <v>55</v>
      </c>
      <c r="C107" s="90" t="s">
        <v>54</v>
      </c>
      <c r="D107" s="91">
        <v>0</v>
      </c>
      <c r="E107" s="91">
        <v>0</v>
      </c>
      <c r="F107" s="92"/>
      <c r="G107" s="93"/>
      <c r="H107" s="93"/>
      <c r="I107" s="93">
        <f t="shared" si="8"/>
        <v>0</v>
      </c>
      <c r="J107" s="93">
        <f t="shared" si="9"/>
        <v>0</v>
      </c>
      <c r="K107" s="93">
        <f t="shared" si="10"/>
        <v>0.75</v>
      </c>
      <c r="L107" s="93">
        <f t="shared" si="12"/>
        <v>0</v>
      </c>
      <c r="M107" s="93">
        <f t="shared" si="12"/>
        <v>0</v>
      </c>
      <c r="N107" s="93">
        <f t="shared" si="13"/>
        <v>0</v>
      </c>
      <c r="O107" s="93">
        <f t="shared" si="14"/>
        <v>0</v>
      </c>
      <c r="P107" s="93">
        <f>C80*E84*3/4</f>
        <v>2207.25</v>
      </c>
      <c r="Q107" s="94"/>
      <c r="S107" s="69">
        <v>19</v>
      </c>
      <c r="T107" s="95">
        <v>3713.2278657237202</v>
      </c>
      <c r="U107" s="96">
        <v>-416.57657179300895</v>
      </c>
      <c r="V107" s="96">
        <v>-140.89854354305521</v>
      </c>
      <c r="W107" s="96">
        <v>-508.2005792321379</v>
      </c>
      <c r="X107" s="96">
        <v>-3803.7249450869695</v>
      </c>
      <c r="Y107" s="97">
        <v>90.642395457177145</v>
      </c>
      <c r="Z107" s="79">
        <v>0</v>
      </c>
    </row>
    <row r="108" spans="1:26" x14ac:dyDescent="0.2">
      <c r="A108" s="64">
        <v>20</v>
      </c>
      <c r="B108" s="98"/>
      <c r="C108" s="90" t="s">
        <v>54</v>
      </c>
      <c r="D108" s="91"/>
      <c r="E108" s="91"/>
      <c r="F108" s="92"/>
      <c r="G108" s="106"/>
      <c r="H108" s="106"/>
      <c r="I108" s="93">
        <f t="shared" si="8"/>
        <v>0</v>
      </c>
      <c r="J108" s="93">
        <f t="shared" si="9"/>
        <v>0</v>
      </c>
      <c r="K108" s="93">
        <f t="shared" si="10"/>
        <v>0.25</v>
      </c>
      <c r="L108" s="106">
        <f t="shared" si="12"/>
        <v>0</v>
      </c>
      <c r="M108" s="93">
        <f t="shared" si="12"/>
        <v>0</v>
      </c>
      <c r="N108" s="93">
        <f t="shared" si="13"/>
        <v>0</v>
      </c>
      <c r="O108" s="93">
        <f t="shared" si="14"/>
        <v>0</v>
      </c>
      <c r="P108" s="93">
        <f t="shared" si="11"/>
        <v>735.75</v>
      </c>
      <c r="Q108" s="94"/>
      <c r="S108" s="69">
        <v>20</v>
      </c>
      <c r="T108" s="95">
        <v>1237.7426219079068</v>
      </c>
      <c r="U108" s="96">
        <v>-138.85885726433639</v>
      </c>
      <c r="V108" s="96">
        <v>-46.966181181018442</v>
      </c>
      <c r="W108" s="96">
        <v>-169.40019307737907</v>
      </c>
      <c r="X108" s="96">
        <v>-1267.9083150289896</v>
      </c>
      <c r="Y108" s="97">
        <v>30.214131819059048</v>
      </c>
      <c r="Z108" s="79">
        <v>0</v>
      </c>
    </row>
    <row r="109" spans="1:26" x14ac:dyDescent="0.2">
      <c r="A109" s="64">
        <v>21</v>
      </c>
      <c r="B109" s="89" t="s">
        <v>56</v>
      </c>
      <c r="C109" s="90" t="s">
        <v>54</v>
      </c>
      <c r="D109" s="91">
        <v>0</v>
      </c>
      <c r="E109" s="91">
        <v>-2</v>
      </c>
      <c r="F109" s="92"/>
      <c r="G109" s="106"/>
      <c r="H109" s="106"/>
      <c r="I109" s="93">
        <f>0</f>
        <v>0</v>
      </c>
      <c r="J109" s="93">
        <f t="shared" si="9"/>
        <v>0</v>
      </c>
      <c r="K109" s="93">
        <f t="shared" si="10"/>
        <v>0.25</v>
      </c>
      <c r="L109" s="106">
        <f t="shared" si="12"/>
        <v>0</v>
      </c>
      <c r="M109" s="93">
        <f t="shared" si="12"/>
        <v>-5886</v>
      </c>
      <c r="N109" s="93">
        <f t="shared" si="13"/>
        <v>0</v>
      </c>
      <c r="O109" s="93">
        <f t="shared" si="14"/>
        <v>-1471.5</v>
      </c>
      <c r="P109" s="93">
        <f t="shared" si="11"/>
        <v>735.75</v>
      </c>
      <c r="Q109" s="94"/>
      <c r="S109" s="69">
        <v>21</v>
      </c>
      <c r="T109" s="95">
        <v>1058.6250396635241</v>
      </c>
      <c r="U109" s="96">
        <v>-734.97303132874868</v>
      </c>
      <c r="V109" s="96">
        <v>527.62007794846488</v>
      </c>
      <c r="W109" s="96">
        <v>1903.0489775501187</v>
      </c>
      <c r="X109" s="96">
        <v>-1271.5138647613521</v>
      </c>
      <c r="Y109" s="97">
        <v>-339.42684256303511</v>
      </c>
      <c r="Z109" s="79">
        <v>0</v>
      </c>
    </row>
    <row r="110" spans="1:26" ht="16" thickBot="1" x14ac:dyDescent="0.25">
      <c r="A110" s="64">
        <v>22</v>
      </c>
      <c r="B110" s="116" t="s">
        <v>57</v>
      </c>
      <c r="C110" s="107" t="s">
        <v>54</v>
      </c>
      <c r="D110" s="108">
        <v>1.75</v>
      </c>
      <c r="E110" s="108">
        <v>0</v>
      </c>
      <c r="F110" s="109"/>
      <c r="G110" s="117"/>
      <c r="H110" s="117"/>
      <c r="I110" s="118">
        <f t="shared" si="8"/>
        <v>0</v>
      </c>
      <c r="J110" s="118">
        <f t="shared" si="9"/>
        <v>1003.6904527559054</v>
      </c>
      <c r="K110" s="118">
        <f t="shared" si="10"/>
        <v>0.42052165354330706</v>
      </c>
      <c r="L110" s="117">
        <f t="shared" si="12"/>
        <v>5150.25</v>
      </c>
      <c r="M110" s="118">
        <f t="shared" si="12"/>
        <v>0</v>
      </c>
      <c r="N110" s="118">
        <f t="shared" si="13"/>
        <v>2165.7916461614172</v>
      </c>
      <c r="O110" s="118">
        <f t="shared" si="14"/>
        <v>0</v>
      </c>
      <c r="P110" s="118">
        <f t="shared" si="11"/>
        <v>1237.5952263779527</v>
      </c>
      <c r="Q110" s="119"/>
      <c r="S110" s="69">
        <v>22</v>
      </c>
      <c r="T110" s="95">
        <v>-831.59479835840762</v>
      </c>
      <c r="U110" s="96">
        <v>1406.2277373389952</v>
      </c>
      <c r="V110" s="96">
        <v>6605.6168832743242</v>
      </c>
      <c r="W110" s="96">
        <v>-6682.3807704333012</v>
      </c>
      <c r="X110" s="96">
        <v>-1109.635763861274</v>
      </c>
      <c r="Y110" s="97">
        <v>539.54685264584805</v>
      </c>
      <c r="Z110" s="79">
        <v>0</v>
      </c>
    </row>
    <row r="111" spans="1:26" x14ac:dyDescent="0.2">
      <c r="I111" s="82"/>
      <c r="J111" s="84"/>
      <c r="K111" s="84"/>
      <c r="M111" s="84"/>
      <c r="R111" s="120" t="s">
        <v>64</v>
      </c>
      <c r="S111" s="65" t="s">
        <v>65</v>
      </c>
      <c r="T111" s="121">
        <f>MIN(T89:T100)</f>
        <v>9.9086101630890493</v>
      </c>
      <c r="U111" s="121">
        <f t="shared" ref="U111:Y111" si="15">MIN(U89:U100)</f>
        <v>-436.66526007872608</v>
      </c>
      <c r="V111" s="121">
        <f t="shared" si="15"/>
        <v>-2859.1718888049627</v>
      </c>
      <c r="W111" s="121">
        <f t="shared" si="15"/>
        <v>-4426.6869716469555</v>
      </c>
      <c r="X111" s="121">
        <f t="shared" si="15"/>
        <v>-2496.4534504257435</v>
      </c>
      <c r="Y111" s="121">
        <f t="shared" si="15"/>
        <v>-90.928319714611916</v>
      </c>
      <c r="Z111" s="65" t="s">
        <v>66</v>
      </c>
    </row>
    <row r="112" spans="1:26" x14ac:dyDescent="0.2">
      <c r="I112" s="82"/>
      <c r="J112" s="84"/>
      <c r="K112" s="84"/>
      <c r="R112" s="122"/>
      <c r="S112" s="65" t="s">
        <v>67</v>
      </c>
      <c r="T112" s="123">
        <f>MAX(T89:T110,0)</f>
        <v>3958.7106257472064</v>
      </c>
      <c r="U112" s="123">
        <f t="shared" ref="U112:Y113" si="16">MAX(U89:U110,0)</f>
        <v>1593.0899686150469</v>
      </c>
      <c r="V112" s="123">
        <f t="shared" si="16"/>
        <v>6605.6168832743242</v>
      </c>
      <c r="W112" s="123">
        <f t="shared" si="16"/>
        <v>1903.0489775501187</v>
      </c>
      <c r="X112" s="123">
        <f t="shared" si="16"/>
        <v>0</v>
      </c>
      <c r="Y112" s="123">
        <f t="shared" si="16"/>
        <v>1260.0385727835405</v>
      </c>
      <c r="Z112" s="65" t="s">
        <v>66</v>
      </c>
    </row>
    <row r="113" spans="17:26" x14ac:dyDescent="0.2">
      <c r="R113" s="122"/>
      <c r="S113" s="65" t="s">
        <v>100</v>
      </c>
      <c r="T113" s="123">
        <f>MAX(T90:T111,0)</f>
        <v>3958.7106257472064</v>
      </c>
      <c r="U113" s="123">
        <f t="shared" si="16"/>
        <v>1593.0899686150469</v>
      </c>
      <c r="V113" s="123">
        <f t="shared" si="16"/>
        <v>6605.6168832743242</v>
      </c>
      <c r="W113" s="123">
        <f t="shared" si="16"/>
        <v>1903.0489775501187</v>
      </c>
      <c r="X113" s="123">
        <f t="shared" si="16"/>
        <v>0</v>
      </c>
      <c r="Y113" s="123">
        <f t="shared" si="16"/>
        <v>1260.0385727835405</v>
      </c>
      <c r="Z113" s="65" t="s">
        <v>66</v>
      </c>
    </row>
    <row r="114" spans="17:26" ht="16" thickBot="1" x14ac:dyDescent="0.25">
      <c r="R114" s="122"/>
      <c r="S114" s="124" t="s">
        <v>68</v>
      </c>
      <c r="T114" s="125">
        <f>MIN(T89:T110,0)</f>
        <v>-831.59479835840762</v>
      </c>
      <c r="U114" s="125">
        <f t="shared" ref="U114:X114" si="17">MIN(U89:U110,0)</f>
        <v>-734.97303132874868</v>
      </c>
      <c r="V114" s="125">
        <f t="shared" si="17"/>
        <v>-3845.5983516541264</v>
      </c>
      <c r="W114" s="125">
        <f t="shared" si="17"/>
        <v>-7064.6007236864343</v>
      </c>
      <c r="X114" s="125">
        <f t="shared" si="17"/>
        <v>-3803.7249450869695</v>
      </c>
      <c r="Y114" s="125">
        <f>MIN(Y89:Y110,0)</f>
        <v>-339.42684256303511</v>
      </c>
      <c r="Z114" s="65" t="s">
        <v>66</v>
      </c>
    </row>
    <row r="115" spans="17:26" x14ac:dyDescent="0.2">
      <c r="R115" s="120" t="s">
        <v>69</v>
      </c>
      <c r="S115" s="126" t="s">
        <v>70</v>
      </c>
      <c r="T115" s="1">
        <v>0.5</v>
      </c>
      <c r="U115" s="2">
        <v>0.5</v>
      </c>
      <c r="V115" s="2">
        <v>0.625</v>
      </c>
      <c r="W115" s="2">
        <v>0.625</v>
      </c>
      <c r="X115" s="2">
        <v>0.5</v>
      </c>
      <c r="Y115" s="3">
        <v>0.5</v>
      </c>
      <c r="Z115" s="65" t="s">
        <v>71</v>
      </c>
    </row>
    <row r="116" spans="17:26" x14ac:dyDescent="0.2">
      <c r="Q116" s="122"/>
      <c r="S116" s="126" t="s">
        <v>72</v>
      </c>
      <c r="T116" s="1">
        <v>6.5000000000000002E-2</v>
      </c>
      <c r="U116" s="2">
        <v>6.5000000000000002E-2</v>
      </c>
      <c r="V116" s="2">
        <v>6.5000000000000002E-2</v>
      </c>
      <c r="W116" s="2">
        <v>6.5000000000000002E-2</v>
      </c>
      <c r="X116" s="2">
        <v>6.5000000000000002E-2</v>
      </c>
      <c r="Y116" s="2">
        <v>6.5000000000000002E-2</v>
      </c>
      <c r="Z116" s="65" t="s">
        <v>71</v>
      </c>
    </row>
    <row r="117" spans="17:26" x14ac:dyDescent="0.2">
      <c r="S117" s="126" t="s">
        <v>73</v>
      </c>
      <c r="T117" s="4"/>
      <c r="X117" s="6"/>
      <c r="Y117" s="65" t="s">
        <v>15</v>
      </c>
    </row>
    <row r="119" spans="17:26" x14ac:dyDescent="0.2">
      <c r="S119" s="122" t="s">
        <v>89</v>
      </c>
    </row>
    <row r="121" spans="17:26" x14ac:dyDescent="0.2">
      <c r="S121" s="122" t="s">
        <v>92</v>
      </c>
    </row>
    <row r="122" spans="17:26" x14ac:dyDescent="0.2">
      <c r="S122" s="122" t="s">
        <v>91</v>
      </c>
    </row>
    <row r="123" spans="17:26" x14ac:dyDescent="0.2">
      <c r="S123" s="122" t="s">
        <v>93</v>
      </c>
    </row>
    <row r="124" spans="17:26" x14ac:dyDescent="0.2">
      <c r="S124" s="122" t="s">
        <v>90</v>
      </c>
    </row>
  </sheetData>
  <conditionalFormatting sqref="T88:Y91">
    <cfRule type="expression" dxfId="7" priority="1">
      <formula>T88&lt;#REF!</formula>
    </cfRule>
  </conditionalFormatting>
  <conditionalFormatting sqref="T92:Y110">
    <cfRule type="expression" dxfId="6" priority="2">
      <formula>OR(T92&gt;#REF!,T92&lt;#REF!)</formula>
    </cfRule>
  </conditionalFormatting>
  <dataValidations count="1">
    <dataValidation type="list" allowBlank="1" showInputMessage="1" showErrorMessage="1" sqref="T115:Y115" xr:uid="{0E9EB5FE-B478-439B-854D-7002C1560D87}">
      <formula1>Outer_Diameter</formula1>
    </dataValidation>
  </dataValidations>
  <pageMargins left="0.7" right="0.7" top="0.75" bottom="0.75" header="0.3" footer="0.3"/>
  <pageSetup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1B76EE-6E95-4AFB-A39A-8774CDFFC763}">
  <dimension ref="B1:H29"/>
  <sheetViews>
    <sheetView zoomScale="101" zoomScaleNormal="100" zoomScaleSheetLayoutView="75" workbookViewId="0">
      <selection activeCell="H20" sqref="H20"/>
    </sheetView>
  </sheetViews>
  <sheetFormatPr baseColWidth="10" defaultColWidth="8.83203125" defaultRowHeight="15" x14ac:dyDescent="0.2"/>
  <cols>
    <col min="2" max="2" width="19.83203125" customWidth="1"/>
    <col min="3" max="3" width="18.5" customWidth="1"/>
    <col min="4" max="4" width="18.83203125" customWidth="1"/>
    <col min="5" max="5" width="17.33203125" customWidth="1"/>
    <col min="6" max="6" width="14.6640625" customWidth="1"/>
    <col min="7" max="7" width="17.1640625" customWidth="1"/>
    <col min="8" max="8" width="18.33203125" customWidth="1"/>
    <col min="10" max="10" width="15.33203125" customWidth="1"/>
    <col min="11" max="11" width="12.5" bestFit="1" customWidth="1"/>
  </cols>
  <sheetData>
    <row r="1" spans="2:8" ht="16" customHeight="1" thickBot="1" x14ac:dyDescent="0.25"/>
    <row r="2" spans="2:8" ht="17" thickBot="1" x14ac:dyDescent="0.25">
      <c r="B2" s="136" t="s">
        <v>140</v>
      </c>
      <c r="C2" s="137" t="s">
        <v>105</v>
      </c>
    </row>
    <row r="3" spans="2:8" ht="18" customHeight="1" x14ac:dyDescent="0.2"/>
    <row r="4" spans="2:8" ht="16" x14ac:dyDescent="0.2">
      <c r="B4" s="128" t="str">
        <f t="shared" ref="B4:H4" si="0">$C$2</f>
        <v>STEEL</v>
      </c>
      <c r="C4" s="128" t="str">
        <f t="shared" si="0"/>
        <v>STEEL</v>
      </c>
      <c r="D4" s="128" t="str">
        <f t="shared" si="0"/>
        <v>STEEL</v>
      </c>
      <c r="E4" s="128" t="str">
        <f t="shared" si="0"/>
        <v>STEEL</v>
      </c>
      <c r="F4" s="128" t="str">
        <f t="shared" si="0"/>
        <v>STEEL</v>
      </c>
      <c r="G4" s="128" t="str">
        <f t="shared" si="0"/>
        <v>STEEL</v>
      </c>
      <c r="H4" s="128" t="str">
        <f t="shared" si="0"/>
        <v>STEEL</v>
      </c>
    </row>
    <row r="5" spans="2:8" ht="33" customHeight="1" x14ac:dyDescent="0.2">
      <c r="B5" s="129" t="s">
        <v>113</v>
      </c>
      <c r="C5" s="130" t="s">
        <v>114</v>
      </c>
      <c r="D5" s="129" t="s">
        <v>106</v>
      </c>
      <c r="E5" s="130" t="s">
        <v>107</v>
      </c>
      <c r="F5" s="130" t="s">
        <v>123</v>
      </c>
      <c r="G5" s="130" t="s">
        <v>112</v>
      </c>
      <c r="H5" s="130" t="s">
        <v>115</v>
      </c>
    </row>
    <row r="6" spans="2:8" x14ac:dyDescent="0.2">
      <c r="B6" s="131">
        <v>0.3</v>
      </c>
      <c r="C6" s="132">
        <f>B6*0.0254</f>
        <v>7.6199999999999992E-3</v>
      </c>
      <c r="D6" s="131">
        <v>4.9000000000000002E-2</v>
      </c>
      <c r="E6" s="132">
        <f>D6*0.0254</f>
        <v>1.2446E-3</v>
      </c>
      <c r="F6" s="132">
        <f>C6-E6</f>
        <v>6.3753999999999989E-3</v>
      </c>
      <c r="G6" s="132">
        <f>H10/4*(C6^4-F6^4)</f>
        <v>1.3503734400986193E-9</v>
      </c>
      <c r="H6" s="132">
        <f>H10*(C6^2-F6^2)</f>
        <v>5.4720767009859995E-5</v>
      </c>
    </row>
    <row r="8" spans="2:8" ht="16" x14ac:dyDescent="0.2">
      <c r="B8" s="128" t="str">
        <f>$C$2</f>
        <v>STEEL</v>
      </c>
      <c r="C8" s="128" t="str">
        <f>$C$2</f>
        <v>STEEL</v>
      </c>
      <c r="D8" s="128" t="str">
        <f>$C$2</f>
        <v>STEEL</v>
      </c>
      <c r="E8" s="128" t="str">
        <f t="shared" ref="E8:F8" si="1">$C$2</f>
        <v>STEEL</v>
      </c>
      <c r="F8" s="128" t="str">
        <f t="shared" si="1"/>
        <v>STEEL</v>
      </c>
      <c r="G8" s="128" t="str">
        <f>$C$2</f>
        <v>STEEL</v>
      </c>
      <c r="H8" s="128" t="str">
        <f>$C$2</f>
        <v>STEEL</v>
      </c>
    </row>
    <row r="9" spans="2:8" ht="35" customHeight="1" x14ac:dyDescent="0.2">
      <c r="B9" s="129" t="s">
        <v>111</v>
      </c>
      <c r="C9" s="129" t="s">
        <v>109</v>
      </c>
      <c r="D9" s="129" t="s">
        <v>110</v>
      </c>
      <c r="E9" s="129" t="s">
        <v>134</v>
      </c>
      <c r="F9" s="130" t="s">
        <v>135</v>
      </c>
      <c r="G9" s="130" t="s">
        <v>139</v>
      </c>
      <c r="H9" s="130" t="s">
        <v>108</v>
      </c>
    </row>
    <row r="10" spans="2:8" x14ac:dyDescent="0.2">
      <c r="B10" s="131">
        <v>205000000000</v>
      </c>
      <c r="C10" s="135">
        <v>360000000</v>
      </c>
      <c r="D10" s="131">
        <v>1.5</v>
      </c>
      <c r="E10" s="131">
        <v>1</v>
      </c>
      <c r="F10" s="132">
        <f>E10*0.0254</f>
        <v>2.5399999999999999E-2</v>
      </c>
      <c r="G10" s="132">
        <v>8050</v>
      </c>
      <c r="H10" s="132">
        <v>3.1415000000000002</v>
      </c>
    </row>
    <row r="12" spans="2:8" ht="37.5" customHeight="1" x14ac:dyDescent="0.2">
      <c r="B12" s="138" t="s">
        <v>119</v>
      </c>
      <c r="C12" s="138" t="s">
        <v>117</v>
      </c>
      <c r="D12" s="138" t="s">
        <v>118</v>
      </c>
      <c r="E12" s="138" t="s">
        <v>122</v>
      </c>
      <c r="F12" s="138" t="s">
        <v>121</v>
      </c>
      <c r="G12" s="138" t="s">
        <v>125</v>
      </c>
      <c r="H12" s="138" t="s">
        <v>127</v>
      </c>
    </row>
    <row r="13" spans="2:8" ht="16" x14ac:dyDescent="0.2">
      <c r="B13" s="133" t="s">
        <v>9</v>
      </c>
      <c r="C13" s="134" cm="1">
        <f t="array" ref="C13:C17">TRANSPOSE('Rear Tires Force Calculations'!T114:X114)*-1</f>
        <v>831.59479835840762</v>
      </c>
      <c r="D13" s="134" cm="1">
        <f t="array" ref="D13:D17">TRANSPOSE('Rear Tires Force Calculations'!T113:X113)</f>
        <v>3958.7106257472064</v>
      </c>
      <c r="E13" s="134">
        <f>ABS(('Rear Tires Force Calculations'!C5-'Rear Tires Force Calculations'!C12)/'Rear Tires Force Calculations'!C25)</f>
        <v>329.90219724639599</v>
      </c>
      <c r="F13" s="134" cm="1">
        <f t="array" ref="F13:F17">E13:E17/1000</f>
        <v>0.32990219724639597</v>
      </c>
      <c r="G13" s="134">
        <f>ACOS(SUMPRODUCT('Rear Tires Force Calculations'!C25:E25,'Rear Tires Force Calculations'!$C$29:$E$29))</f>
        <v>0.63868268103837755</v>
      </c>
      <c r="H13" s="134">
        <f>(SIN(G13)*$C$17*$F$10)/F13</f>
        <v>174.58408194948856</v>
      </c>
    </row>
    <row r="14" spans="2:8" ht="16" x14ac:dyDescent="0.2">
      <c r="B14" s="133" t="s">
        <v>10</v>
      </c>
      <c r="C14" s="134">
        <v>734.97303132874868</v>
      </c>
      <c r="D14" s="134">
        <v>1593.0899686150469</v>
      </c>
      <c r="E14" s="134">
        <f>ABS(('Rear Tires Force Calculations'!C6-'Rear Tires Force Calculations'!C13)/'Rear Tires Force Calculations'!C26)</f>
        <v>281.21918307256351</v>
      </c>
      <c r="F14" s="134">
        <v>0.28121918307256349</v>
      </c>
      <c r="G14" s="134">
        <f>ACOS(SUMPRODUCT('Rear Tires Force Calculations'!C26:E26,'Rear Tires Force Calculations'!$C$29:$E$29))</f>
        <v>1.0083615597044302</v>
      </c>
      <c r="H14" s="134">
        <f>(SIN(G14)*$C$17*$F$10)/F14</f>
        <v>290.63461702786435</v>
      </c>
    </row>
    <row r="15" spans="2:8" ht="16" x14ac:dyDescent="0.2">
      <c r="B15" s="133" t="s">
        <v>11</v>
      </c>
      <c r="C15" s="134">
        <v>3845.5983516541264</v>
      </c>
      <c r="D15" s="134">
        <v>6605.6168832743242</v>
      </c>
      <c r="E15" s="134">
        <f>ABS(('Rear Tires Force Calculations'!C7-'Rear Tires Force Calculations'!C14)/'Rear Tires Force Calculations'!C27)</f>
        <v>440.18086044284109</v>
      </c>
      <c r="F15" s="134">
        <v>0.4401808604428411</v>
      </c>
      <c r="G15" s="134"/>
      <c r="H15" s="134"/>
    </row>
    <row r="16" spans="2:8" ht="16" x14ac:dyDescent="0.2">
      <c r="B16" s="133" t="s">
        <v>12</v>
      </c>
      <c r="C16" s="134">
        <v>7064.6007236864343</v>
      </c>
      <c r="D16" s="134">
        <v>1903.0489775501187</v>
      </c>
      <c r="E16" s="134">
        <f>ABS(('Rear Tires Force Calculations'!C8-'Rear Tires Force Calculations'!C15)/'Rear Tires Force Calculations'!C28)</f>
        <v>405.43756563397028</v>
      </c>
      <c r="F16" s="134">
        <v>0.40543756563397026</v>
      </c>
      <c r="G16" s="134"/>
      <c r="H16" s="134"/>
    </row>
    <row r="17" spans="2:8" ht="16" x14ac:dyDescent="0.2">
      <c r="B17" s="133" t="s">
        <v>120</v>
      </c>
      <c r="C17" s="134">
        <v>3803.7249450869695</v>
      </c>
      <c r="D17" s="134">
        <v>0</v>
      </c>
      <c r="E17" s="134">
        <f>ABS(('Rear Tires Force Calculations'!C9-'Rear Tires Force Calculations'!C16)/'Rear Tires Force Calculations'!C29)</f>
        <v>325.26536708326876</v>
      </c>
      <c r="F17" s="134">
        <v>0.32526536708326875</v>
      </c>
      <c r="G17" s="134">
        <f>ACOS(SUMPRODUCT('Rear Tires Force Calculations'!C29:E29,'Rear Tires Force Calculations'!$C$29:$E$29))</f>
        <v>2.1073424116835326E-8</v>
      </c>
      <c r="H17" s="134"/>
    </row>
    <row r="19" spans="2:8" ht="35" customHeight="1" x14ac:dyDescent="0.2">
      <c r="B19" s="138" t="s">
        <v>126</v>
      </c>
      <c r="C19" s="138" t="s">
        <v>128</v>
      </c>
      <c r="D19" s="138" t="s">
        <v>129</v>
      </c>
      <c r="E19" s="138" t="s">
        <v>131</v>
      </c>
      <c r="F19" s="138" t="s">
        <v>130</v>
      </c>
      <c r="H19" s="140" t="s">
        <v>132</v>
      </c>
    </row>
    <row r="20" spans="2:8" ht="16" x14ac:dyDescent="0.2">
      <c r="B20" s="133" t="s">
        <v>9</v>
      </c>
      <c r="C20" s="139">
        <f>MAX(C13:D13)/$H$6</f>
        <v>72343843.883509457</v>
      </c>
      <c r="D20" s="139">
        <f>(F13*H13*$C$6)/$G$6</f>
        <v>325005668.38165325</v>
      </c>
      <c r="E20" s="139">
        <f>H13/$H$6</f>
        <v>3190453.8530688123</v>
      </c>
      <c r="F20" s="139">
        <f>SQRT(1/2*((D20+C20)^2+(D20+C20)^2)+3*E20^2)</f>
        <v>397387936.25968111</v>
      </c>
      <c r="H20" s="141">
        <f>$C$10/(F20*$D$10)-1</f>
        <v>-0.39605615042333042</v>
      </c>
    </row>
    <row r="21" spans="2:8" ht="16" x14ac:dyDescent="0.2">
      <c r="B21" s="133" t="s">
        <v>10</v>
      </c>
      <c r="C21" s="139">
        <f>MAX(C14:D14)/$H$6</f>
        <v>29113078.190735012</v>
      </c>
      <c r="D21" s="139">
        <f>(F14*H14*$C$6)/$G$6</f>
        <v>461204320.85969758</v>
      </c>
      <c r="E21" s="139">
        <f>H14/$H$6</f>
        <v>5311230.6882594619</v>
      </c>
      <c r="F21" s="139">
        <f t="shared" ref="F21:F23" si="2">SQRT(1/2*((D21+C21)^2+(D21+C21)^2)+3*E21^2)</f>
        <v>490403690.16337228</v>
      </c>
      <c r="H21" s="141">
        <f t="shared" ref="H21:H23" si="3">$C$10/(F21*$D$10)-1</f>
        <v>-0.51060727149086749</v>
      </c>
    </row>
    <row r="22" spans="2:8" ht="16" x14ac:dyDescent="0.2">
      <c r="B22" s="133" t="s">
        <v>11</v>
      </c>
      <c r="C22" s="139">
        <f>MAX(C15:D15)/$H$6</f>
        <v>120714990.74718882</v>
      </c>
      <c r="D22" s="139"/>
      <c r="E22" s="139"/>
      <c r="F22" s="139">
        <f t="shared" si="2"/>
        <v>120714990.74718882</v>
      </c>
      <c r="H22" s="141">
        <f t="shared" si="3"/>
        <v>0.98815406864113142</v>
      </c>
    </row>
    <row r="23" spans="2:8" ht="16" x14ac:dyDescent="0.2">
      <c r="B23" s="133" t="s">
        <v>12</v>
      </c>
      <c r="C23" s="139">
        <f>MAX(C16:D16)/$H$6</f>
        <v>129102735.75685593</v>
      </c>
      <c r="D23" s="139"/>
      <c r="E23" s="139"/>
      <c r="F23" s="139">
        <f t="shared" si="2"/>
        <v>129102735.75685593</v>
      </c>
      <c r="H23" s="141">
        <f t="shared" si="3"/>
        <v>0.85898461866835341</v>
      </c>
    </row>
    <row r="25" spans="2:8" ht="32" x14ac:dyDescent="0.2">
      <c r="B25" s="138" t="s">
        <v>126</v>
      </c>
      <c r="C25" s="138" t="s">
        <v>124</v>
      </c>
      <c r="E25" s="140" t="s">
        <v>133</v>
      </c>
    </row>
    <row r="26" spans="2:8" ht="16" x14ac:dyDescent="0.2">
      <c r="B26" s="133" t="s">
        <v>9</v>
      </c>
      <c r="C26" s="139">
        <f>(D13*F13^2)/($H$10^2*$B$10)</f>
        <v>2.1295909072401494E-10</v>
      </c>
      <c r="E26" s="141">
        <f>$G$6/(C26*$D$10)-1</f>
        <v>3.2273328506667367</v>
      </c>
    </row>
    <row r="27" spans="2:8" ht="16" x14ac:dyDescent="0.2">
      <c r="B27" s="133" t="s">
        <v>10</v>
      </c>
      <c r="C27" s="139">
        <f>(D14*F14^2)/($H$10^2*$B$10)</f>
        <v>6.227334557659247E-11</v>
      </c>
      <c r="E27" s="141">
        <f t="shared" ref="E27:E28" si="4">$G$6/(C27*$D$10)-1</f>
        <v>13.456409106180013</v>
      </c>
    </row>
    <row r="28" spans="2:8" ht="16" x14ac:dyDescent="0.2">
      <c r="B28" s="133" t="s">
        <v>11</v>
      </c>
      <c r="C28" s="139">
        <f>(D15*F15^2)/($H$10^2*$B$10)</f>
        <v>6.3262696965593243E-10</v>
      </c>
      <c r="E28" s="141">
        <f t="shared" si="4"/>
        <v>0.42303285071037289</v>
      </c>
    </row>
    <row r="29" spans="2:8" ht="16" x14ac:dyDescent="0.2">
      <c r="B29" s="133" t="s">
        <v>12</v>
      </c>
      <c r="C29" s="139">
        <f>(D16*F16^2)/($H$10^2*$B$10)</f>
        <v>1.5462152331849523E-10</v>
      </c>
      <c r="E29" s="141">
        <f>$G$6/(C29*$D$10)-1</f>
        <v>4.8222745497816604</v>
      </c>
    </row>
  </sheetData>
  <pageMargins left="0.7" right="0.7" top="0.75" bottom="0.75" header="0.3" footer="0.3"/>
  <pageSetup orientation="portrait" horizontalDpi="0" verticalDpi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1C1A54-FC74-4DCE-A6AA-AA390A53E178}">
  <dimension ref="B1:H29"/>
  <sheetViews>
    <sheetView zoomScale="82" workbookViewId="0">
      <selection activeCell="K14" sqref="K14"/>
    </sheetView>
  </sheetViews>
  <sheetFormatPr baseColWidth="10" defaultColWidth="8.83203125" defaultRowHeight="15" x14ac:dyDescent="0.2"/>
  <cols>
    <col min="2" max="2" width="19.83203125" customWidth="1"/>
    <col min="3" max="3" width="21.1640625" customWidth="1"/>
    <col min="4" max="4" width="19.33203125" customWidth="1"/>
    <col min="5" max="5" width="17.33203125" customWidth="1"/>
    <col min="6" max="6" width="14.6640625" customWidth="1"/>
    <col min="7" max="7" width="17.1640625" customWidth="1"/>
    <col min="8" max="8" width="18.33203125" customWidth="1"/>
    <col min="10" max="10" width="15.33203125" customWidth="1"/>
    <col min="11" max="11" width="12.5" bestFit="1" customWidth="1"/>
  </cols>
  <sheetData>
    <row r="1" spans="2:8" ht="16" customHeight="1" thickBot="1" x14ac:dyDescent="0.25"/>
    <row r="2" spans="2:8" ht="17" thickBot="1" x14ac:dyDescent="0.25">
      <c r="B2" s="136" t="s">
        <v>140</v>
      </c>
      <c r="C2" s="137" t="s">
        <v>136</v>
      </c>
    </row>
    <row r="3" spans="2:8" ht="18" customHeight="1" x14ac:dyDescent="0.2"/>
    <row r="4" spans="2:8" ht="16" x14ac:dyDescent="0.2">
      <c r="B4" s="128" t="str">
        <f t="shared" ref="B4:H4" si="0">$C$2</f>
        <v>CARBON FIBER</v>
      </c>
      <c r="C4" s="128" t="str">
        <f t="shared" si="0"/>
        <v>CARBON FIBER</v>
      </c>
      <c r="D4" s="128" t="str">
        <f t="shared" si="0"/>
        <v>CARBON FIBER</v>
      </c>
      <c r="E4" s="128" t="str">
        <f t="shared" si="0"/>
        <v>CARBON FIBER</v>
      </c>
      <c r="F4" s="128" t="str">
        <f t="shared" si="0"/>
        <v>CARBON FIBER</v>
      </c>
      <c r="G4" s="128" t="str">
        <f t="shared" si="0"/>
        <v>CARBON FIBER</v>
      </c>
      <c r="H4" s="128" t="str">
        <f t="shared" si="0"/>
        <v>CARBON FIBER</v>
      </c>
    </row>
    <row r="5" spans="2:8" ht="33" customHeight="1" x14ac:dyDescent="0.2">
      <c r="B5" s="129" t="s">
        <v>113</v>
      </c>
      <c r="C5" s="130" t="s">
        <v>114</v>
      </c>
      <c r="D5" s="129" t="s">
        <v>106</v>
      </c>
      <c r="E5" s="130" t="s">
        <v>107</v>
      </c>
      <c r="F5" s="130" t="s">
        <v>123</v>
      </c>
      <c r="G5" s="130" t="s">
        <v>112</v>
      </c>
      <c r="H5" s="130" t="s">
        <v>115</v>
      </c>
    </row>
    <row r="6" spans="2:8" x14ac:dyDescent="0.2">
      <c r="B6" s="131">
        <v>0.375</v>
      </c>
      <c r="C6" s="132">
        <f>B6*0.0254</f>
        <v>9.5249999999999987E-3</v>
      </c>
      <c r="D6" s="131">
        <v>0.05</v>
      </c>
      <c r="E6" s="132">
        <f>D6*0.0254</f>
        <v>1.2700000000000001E-3</v>
      </c>
      <c r="F6" s="132">
        <f>C6-E6</f>
        <v>8.2549999999999985E-3</v>
      </c>
      <c r="G6" s="132">
        <f>H10/4*(C6^4-F6^4)</f>
        <v>2.8174500334959221E-9</v>
      </c>
      <c r="H6" s="132">
        <f>H10*(C6^2-F6^2)</f>
        <v>7.0936954900000014E-5</v>
      </c>
    </row>
    <row r="8" spans="2:8" ht="16" x14ac:dyDescent="0.2">
      <c r="B8" s="128" t="str">
        <f>$C$2</f>
        <v>CARBON FIBER</v>
      </c>
      <c r="C8" s="128" t="str">
        <f>$C$2</f>
        <v>CARBON FIBER</v>
      </c>
      <c r="D8" s="128" t="str">
        <f>$C$2</f>
        <v>CARBON FIBER</v>
      </c>
      <c r="E8" s="128" t="str">
        <f t="shared" ref="E8:F8" si="1">$C$2</f>
        <v>CARBON FIBER</v>
      </c>
      <c r="F8" s="128" t="str">
        <f t="shared" si="1"/>
        <v>CARBON FIBER</v>
      </c>
      <c r="G8" s="128" t="str">
        <f>$C$2</f>
        <v>CARBON FIBER</v>
      </c>
      <c r="H8" s="128" t="str">
        <f>$C$2</f>
        <v>CARBON FIBER</v>
      </c>
    </row>
    <row r="9" spans="2:8" ht="35" customHeight="1" x14ac:dyDescent="0.2">
      <c r="B9" s="129" t="s">
        <v>138</v>
      </c>
      <c r="C9" s="129" t="s">
        <v>137</v>
      </c>
      <c r="D9" s="129" t="s">
        <v>110</v>
      </c>
      <c r="E9" s="129" t="s">
        <v>134</v>
      </c>
      <c r="F9" s="130" t="s">
        <v>135</v>
      </c>
      <c r="G9" s="130" t="s">
        <v>139</v>
      </c>
      <c r="H9" s="130" t="s">
        <v>108</v>
      </c>
    </row>
    <row r="10" spans="2:8" x14ac:dyDescent="0.2">
      <c r="B10" s="135">
        <f>14.5*6894745000</f>
        <v>99973802500</v>
      </c>
      <c r="C10" s="135">
        <f>132*6895000</f>
        <v>910140000</v>
      </c>
      <c r="D10" s="131">
        <v>1.65</v>
      </c>
      <c r="E10" s="131">
        <v>1</v>
      </c>
      <c r="F10" s="132">
        <f>E10*0.0254</f>
        <v>2.5399999999999999E-2</v>
      </c>
      <c r="G10" s="132">
        <v>2000</v>
      </c>
      <c r="H10" s="132">
        <v>3.1415000000000002</v>
      </c>
    </row>
    <row r="12" spans="2:8" ht="37.5" customHeight="1" x14ac:dyDescent="0.2">
      <c r="B12" s="138" t="s">
        <v>119</v>
      </c>
      <c r="C12" s="138" t="s">
        <v>117</v>
      </c>
      <c r="D12" s="138" t="s">
        <v>118</v>
      </c>
      <c r="E12" s="138" t="s">
        <v>122</v>
      </c>
      <c r="F12" s="138" t="s">
        <v>121</v>
      </c>
      <c r="G12" s="138" t="s">
        <v>125</v>
      </c>
      <c r="H12" s="138" t="s">
        <v>127</v>
      </c>
    </row>
    <row r="13" spans="2:8" ht="16" x14ac:dyDescent="0.2">
      <c r="B13" s="133" t="s">
        <v>9</v>
      </c>
      <c r="C13" s="134" cm="1">
        <f t="array" ref="C13:C17">TRANSPOSE('Rear Tires Force Calculations'!T114:X114)*-1</f>
        <v>831.59479835840762</v>
      </c>
      <c r="D13" s="134" cm="1">
        <f t="array" ref="D13:D17">TRANSPOSE('Rear Tires Force Calculations'!T113:X113)</f>
        <v>3958.7106257472064</v>
      </c>
      <c r="E13" s="134">
        <f>ABS(('Rear Tires Force Calculations'!C5-'Rear Tires Force Calculations'!C12)/'Rear Tires Force Calculations'!C25)</f>
        <v>329.90219724639599</v>
      </c>
      <c r="F13" s="134" cm="1">
        <f t="array" ref="F13:F17">E13:E17/1000</f>
        <v>0.32990219724639597</v>
      </c>
      <c r="G13" s="134">
        <f>ACOS(SUMPRODUCT('Rear Tires Force Calculations'!C25:E25,'Rear Tires Force Calculations'!$C$29:$E$29))</f>
        <v>0.63868268103837755</v>
      </c>
      <c r="H13" s="134">
        <f>(SIN(G13)*$C$17*$F$10)/F13</f>
        <v>174.58408194948856</v>
      </c>
    </row>
    <row r="14" spans="2:8" ht="16" x14ac:dyDescent="0.2">
      <c r="B14" s="133" t="s">
        <v>10</v>
      </c>
      <c r="C14" s="134">
        <v>734.97303132874868</v>
      </c>
      <c r="D14" s="134">
        <v>1593.0899686150469</v>
      </c>
      <c r="E14" s="134">
        <f>ABS(('Rear Tires Force Calculations'!C6-'Rear Tires Force Calculations'!C13)/'Rear Tires Force Calculations'!C26)</f>
        <v>281.21918307256351</v>
      </c>
      <c r="F14" s="134">
        <v>0.28121918307256349</v>
      </c>
      <c r="G14" s="134">
        <f>ACOS(SUMPRODUCT('Rear Tires Force Calculations'!C26:E26,'Rear Tires Force Calculations'!$C$29:$E$29))</f>
        <v>1.0083615597044302</v>
      </c>
      <c r="H14" s="134">
        <f>(SIN(G14)*$C$17*$F$10)/F14</f>
        <v>290.63461702786435</v>
      </c>
    </row>
    <row r="15" spans="2:8" ht="16" x14ac:dyDescent="0.2">
      <c r="B15" s="133" t="s">
        <v>11</v>
      </c>
      <c r="C15" s="134">
        <v>3845.5983516541264</v>
      </c>
      <c r="D15" s="134">
        <v>6605.6168832743242</v>
      </c>
      <c r="E15" s="134">
        <f>ABS(('Rear Tires Force Calculations'!C7-'Rear Tires Force Calculations'!C14)/'Rear Tires Force Calculations'!C27)</f>
        <v>440.18086044284109</v>
      </c>
      <c r="F15" s="134">
        <v>0.4401808604428411</v>
      </c>
      <c r="G15" s="134"/>
      <c r="H15" s="134"/>
    </row>
    <row r="16" spans="2:8" ht="16" x14ac:dyDescent="0.2">
      <c r="B16" s="133" t="s">
        <v>12</v>
      </c>
      <c r="C16" s="134">
        <v>7064.6007236864343</v>
      </c>
      <c r="D16" s="134">
        <v>1903.0489775501187</v>
      </c>
      <c r="E16" s="134">
        <f>ABS(('Rear Tires Force Calculations'!C8-'Rear Tires Force Calculations'!C15)/'Rear Tires Force Calculations'!C28)</f>
        <v>405.43756563397028</v>
      </c>
      <c r="F16" s="134">
        <v>0.40543756563397026</v>
      </c>
      <c r="G16" s="134"/>
      <c r="H16" s="134"/>
    </row>
    <row r="17" spans="2:8" ht="16" x14ac:dyDescent="0.2">
      <c r="B17" s="133" t="s">
        <v>120</v>
      </c>
      <c r="C17" s="134">
        <v>3803.7249450869695</v>
      </c>
      <c r="D17" s="134">
        <v>0</v>
      </c>
      <c r="E17" s="134">
        <f>ABS(('Rear Tires Force Calculations'!C9-'Rear Tires Force Calculations'!C16)/'Rear Tires Force Calculations'!C29)</f>
        <v>325.26536708326876</v>
      </c>
      <c r="F17" s="134">
        <v>0.32526536708326875</v>
      </c>
      <c r="G17" s="134">
        <f>ACOS(SUMPRODUCT('Rear Tires Force Calculations'!C29:E29,'Rear Tires Force Calculations'!$C$29:$E$29))</f>
        <v>2.1073424116835326E-8</v>
      </c>
      <c r="H17" s="134"/>
    </row>
    <row r="19" spans="2:8" ht="35" customHeight="1" x14ac:dyDescent="0.2">
      <c r="B19" s="138" t="s">
        <v>126</v>
      </c>
      <c r="C19" s="138" t="s">
        <v>128</v>
      </c>
      <c r="D19" s="138" t="s">
        <v>129</v>
      </c>
      <c r="E19" s="138" t="s">
        <v>131</v>
      </c>
      <c r="F19" s="138" t="s">
        <v>130</v>
      </c>
      <c r="H19" s="140" t="s">
        <v>132</v>
      </c>
    </row>
    <row r="20" spans="2:8" ht="16" x14ac:dyDescent="0.2">
      <c r="B20" s="133" t="s">
        <v>9</v>
      </c>
      <c r="C20" s="139">
        <f>MAX(C13:D13)/$H$6</f>
        <v>55806041.171739183</v>
      </c>
      <c r="D20" s="139">
        <f>(F13*H13*$C$6)/$G$6</f>
        <v>194714643.226307</v>
      </c>
      <c r="E20" s="139">
        <f>H13/$H$6</f>
        <v>2461116.1022572811</v>
      </c>
      <c r="F20" s="139">
        <f>SQRT(1/2*((D20+C20)^2+(D20+C20)^2)+3*E20^2)</f>
        <v>250556948.79342666</v>
      </c>
      <c r="H20" s="141">
        <f>$C$10/(F20*$D$10)-1</f>
        <v>1.2014955189080401</v>
      </c>
    </row>
    <row r="21" spans="2:8" ht="16" x14ac:dyDescent="0.2">
      <c r="B21" s="133" t="s">
        <v>10</v>
      </c>
      <c r="C21" s="139">
        <f>MAX(C14:D14)/$H$6</f>
        <v>22457828.51633298</v>
      </c>
      <c r="D21" s="139">
        <f>(F14*H14*$C$6)/$G$6</f>
        <v>276312826.28945273</v>
      </c>
      <c r="E21" s="139">
        <f>H14/$H$6</f>
        <v>4097083.3529233476</v>
      </c>
      <c r="F21" s="139">
        <f t="shared" ref="F21:F23" si="2">SQRT(1/2*((D21+C21)^2+(D21+C21)^2)+3*E21^2)</f>
        <v>298854918.7299422</v>
      </c>
      <c r="H21" s="141">
        <f>$C$10/(F21*$D$10)-1</f>
        <v>0.84571163273524319</v>
      </c>
    </row>
    <row r="22" spans="2:8" ht="16" x14ac:dyDescent="0.2">
      <c r="B22" s="133" t="s">
        <v>11</v>
      </c>
      <c r="C22" s="139">
        <f>MAX(C15:D15)/$H$6</f>
        <v>93119543.862381428</v>
      </c>
      <c r="D22" s="139"/>
      <c r="E22" s="139"/>
      <c r="F22" s="139">
        <f t="shared" si="2"/>
        <v>93119543.862381428</v>
      </c>
      <c r="H22" s="141">
        <f>$C$10/(F22*$D$10)-1</f>
        <v>4.9235685348200713</v>
      </c>
    </row>
    <row r="23" spans="2:8" ht="16" x14ac:dyDescent="0.2">
      <c r="B23" s="133" t="s">
        <v>12</v>
      </c>
      <c r="C23" s="139">
        <f>MAX(C16:D16)/$H$6</f>
        <v>99589850.362838641</v>
      </c>
      <c r="D23" s="139"/>
      <c r="E23" s="139"/>
      <c r="F23" s="139">
        <f t="shared" si="2"/>
        <v>99589850.362838641</v>
      </c>
      <c r="H23" s="141">
        <f>$C$10/(F23*$D$10)-1</f>
        <v>4.5387170277928872</v>
      </c>
    </row>
    <row r="25" spans="2:8" ht="32" x14ac:dyDescent="0.2">
      <c r="B25" s="138" t="s">
        <v>126</v>
      </c>
      <c r="C25" s="138" t="s">
        <v>124</v>
      </c>
      <c r="E25" s="140" t="s">
        <v>133</v>
      </c>
    </row>
    <row r="26" spans="2:8" ht="16" x14ac:dyDescent="0.2">
      <c r="B26" s="133" t="s">
        <v>9</v>
      </c>
      <c r="C26" s="139">
        <f>(D13*F13^2)/($H$10^2*$B$10)</f>
        <v>4.3668053536748351E-10</v>
      </c>
      <c r="E26" s="141">
        <f>$G$6/(C26*$D$10)-1</f>
        <v>2.910285292219513</v>
      </c>
    </row>
    <row r="27" spans="2:8" ht="16" x14ac:dyDescent="0.2">
      <c r="B27" s="133" t="s">
        <v>10</v>
      </c>
      <c r="C27" s="139">
        <f>(D14*F14^2)/($H$10^2*$B$10)</f>
        <v>1.2769381101815603E-10</v>
      </c>
      <c r="E27" s="141">
        <f>$G$6/(C27*$D$10)-1</f>
        <v>12.372186648914626</v>
      </c>
    </row>
    <row r="28" spans="2:8" ht="16" x14ac:dyDescent="0.2">
      <c r="B28" s="133" t="s">
        <v>11</v>
      </c>
      <c r="C28" s="139">
        <f>(D15*F15^2)/($H$10^2*$B$10)</f>
        <v>1.2972251283476603E-9</v>
      </c>
      <c r="E28" s="141">
        <f>$G$6/(C28*$D$10)-1</f>
        <v>0.31630619661291837</v>
      </c>
    </row>
    <row r="29" spans="2:8" ht="16" x14ac:dyDescent="0.2">
      <c r="B29" s="133" t="s">
        <v>12</v>
      </c>
      <c r="C29" s="139">
        <f>(D16*F16^2)/($H$10^2*$B$10)</f>
        <v>3.1705718385865656E-10</v>
      </c>
      <c r="E29" s="141">
        <f>$G$6/(C29*$D$10)-1</f>
        <v>4.3856072714227903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8DAF84-87DA-5246-A2D2-AF733339117F}">
  <dimension ref="A1:AQ41"/>
  <sheetViews>
    <sheetView tabSelected="1" topLeftCell="A6" zoomScaleNormal="100" workbookViewId="0">
      <selection activeCell="M15" sqref="M15"/>
    </sheetView>
  </sheetViews>
  <sheetFormatPr baseColWidth="10" defaultRowHeight="15" x14ac:dyDescent="0.2"/>
  <cols>
    <col min="1" max="1" width="29.5" customWidth="1"/>
    <col min="2" max="2" width="13.6640625" bestFit="1" customWidth="1"/>
    <col min="3" max="7" width="11" bestFit="1" customWidth="1"/>
    <col min="8" max="8" width="24.1640625" customWidth="1"/>
    <col min="9" max="9" width="12.5" customWidth="1"/>
    <col min="10" max="10" width="13" customWidth="1"/>
    <col min="11" max="11" width="13.1640625" customWidth="1"/>
    <col min="12" max="12" width="13" customWidth="1"/>
    <col min="14" max="39" width="11" bestFit="1" customWidth="1"/>
  </cols>
  <sheetData>
    <row r="1" spans="1:43" x14ac:dyDescent="0.2">
      <c r="A1" s="160" t="s">
        <v>141</v>
      </c>
      <c r="B1" s="162" t="s">
        <v>142</v>
      </c>
      <c r="C1" s="161"/>
      <c r="D1" s="162" t="s">
        <v>143</v>
      </c>
      <c r="E1" s="161"/>
    </row>
    <row r="2" spans="1:43" x14ac:dyDescent="0.2">
      <c r="A2" s="161"/>
      <c r="B2" s="142" t="s">
        <v>144</v>
      </c>
      <c r="C2" s="142" t="s">
        <v>145</v>
      </c>
      <c r="D2" s="142" t="s">
        <v>144</v>
      </c>
      <c r="E2" s="142" t="s">
        <v>145</v>
      </c>
      <c r="G2" s="142" t="s">
        <v>146</v>
      </c>
      <c r="H2" s="142">
        <v>2.5399999999999999E-2</v>
      </c>
    </row>
    <row r="3" spans="1:43" ht="16" x14ac:dyDescent="0.2">
      <c r="A3" s="133" t="s">
        <v>9</v>
      </c>
      <c r="B3" s="134" cm="1">
        <f t="array" ref="B3:B7">TRANSPOSE('Front Tires Force Calculations'!T114:X114)*-1</f>
        <v>0</v>
      </c>
      <c r="C3" s="155" cm="1">
        <f t="array" ref="C3:C7">TRANSPOSE('Front Tires Force Calculations'!T113:X113)</f>
        <v>14171.559434082297</v>
      </c>
      <c r="D3" s="134" cm="1">
        <f t="array" ref="D3:D7">TRANSPOSE('Rear Tires Force Calculations'!T114:X114)*-1</f>
        <v>831.59479835840762</v>
      </c>
      <c r="E3" s="134" cm="1">
        <f t="array" ref="E3:E7">TRANSPOSE('Rear Tires Force Calculations'!U103:Y103)</f>
        <v>-138.85885726433639</v>
      </c>
    </row>
    <row r="4" spans="1:43" ht="16" x14ac:dyDescent="0.2">
      <c r="A4" s="133" t="s">
        <v>10</v>
      </c>
      <c r="B4" s="155">
        <v>3243.8909995237045</v>
      </c>
      <c r="C4" s="155">
        <v>4618.5861593729605</v>
      </c>
      <c r="D4" s="134">
        <v>734.97303132874868</v>
      </c>
      <c r="E4" s="134">
        <v>-46.966181181018442</v>
      </c>
    </row>
    <row r="5" spans="1:43" ht="16" x14ac:dyDescent="0.2">
      <c r="A5" s="133" t="s">
        <v>11</v>
      </c>
      <c r="B5" s="155">
        <v>6829.0787632673473</v>
      </c>
      <c r="C5" s="155">
        <v>10913.130604274667</v>
      </c>
      <c r="D5" s="134">
        <v>3845.5983516541264</v>
      </c>
      <c r="E5" s="134">
        <v>-169.40019307737907</v>
      </c>
    </row>
    <row r="6" spans="1:43" ht="17" thickBot="1" x14ac:dyDescent="0.25">
      <c r="A6" s="133" t="s">
        <v>12</v>
      </c>
      <c r="B6" s="155">
        <v>10199.485989690396</v>
      </c>
      <c r="C6" s="155">
        <v>2388.1240086315352</v>
      </c>
      <c r="D6" s="134">
        <v>7064.6007236864343</v>
      </c>
      <c r="E6" s="134">
        <v>-1267.9083150289896</v>
      </c>
      <c r="M6" s="65"/>
      <c r="N6" s="66"/>
      <c r="O6" s="69"/>
      <c r="P6" s="69"/>
      <c r="Q6" s="69"/>
      <c r="R6" s="69"/>
      <c r="S6" s="69"/>
      <c r="T6" s="69"/>
      <c r="U6" s="69"/>
      <c r="V6" s="69"/>
      <c r="W6" s="69"/>
      <c r="X6" s="69"/>
      <c r="Y6" s="69"/>
      <c r="Z6" s="69"/>
      <c r="AA6" s="69"/>
      <c r="AB6" s="69"/>
      <c r="AC6" s="69"/>
      <c r="AD6" s="69"/>
      <c r="AE6" s="69"/>
      <c r="AF6" s="69"/>
      <c r="AG6" s="69"/>
      <c r="AH6" s="69"/>
      <c r="AI6" s="69"/>
      <c r="AJ6" s="69"/>
      <c r="AK6" s="65"/>
      <c r="AL6" s="65"/>
      <c r="AM6" s="65"/>
      <c r="AN6" s="124"/>
      <c r="AO6" s="126"/>
      <c r="AP6" s="126"/>
      <c r="AQ6" s="126"/>
    </row>
    <row r="7" spans="1:43" ht="16" x14ac:dyDescent="0.2">
      <c r="A7" s="133" t="s">
        <v>156</v>
      </c>
      <c r="B7" s="155">
        <v>11687.333596260234</v>
      </c>
      <c r="C7" s="155">
        <v>0</v>
      </c>
      <c r="D7" s="134">
        <v>3803.7249450869695</v>
      </c>
      <c r="E7" s="134">
        <v>30.214131819059048</v>
      </c>
    </row>
    <row r="8" spans="1:43" ht="16" x14ac:dyDescent="0.2">
      <c r="A8" s="133" t="s">
        <v>157</v>
      </c>
      <c r="B8" s="155">
        <v>-342.35500000000002</v>
      </c>
      <c r="C8" s="155">
        <v>387.84899999999999</v>
      </c>
      <c r="D8" s="156">
        <v>569</v>
      </c>
      <c r="E8" s="156">
        <v>-449</v>
      </c>
    </row>
    <row r="9" spans="1:43" x14ac:dyDescent="0.2">
      <c r="A9" s="157" t="s">
        <v>181</v>
      </c>
      <c r="H9" s="158" t="s">
        <v>182</v>
      </c>
      <c r="I9" t="s">
        <v>142</v>
      </c>
      <c r="M9" t="s">
        <v>143</v>
      </c>
      <c r="Q9" t="s">
        <v>195</v>
      </c>
    </row>
    <row r="10" spans="1:43" x14ac:dyDescent="0.2">
      <c r="A10" s="144" t="s">
        <v>23</v>
      </c>
      <c r="B10" s="145" t="s">
        <v>183</v>
      </c>
      <c r="C10" s="145" t="s">
        <v>184</v>
      </c>
      <c r="D10" s="145" t="s">
        <v>185</v>
      </c>
      <c r="E10" s="145" t="s">
        <v>186</v>
      </c>
      <c r="F10" s="145" t="s">
        <v>159</v>
      </c>
      <c r="H10" s="159" t="s">
        <v>23</v>
      </c>
      <c r="I10" s="159" t="s">
        <v>9</v>
      </c>
      <c r="J10" s="159" t="s">
        <v>10</v>
      </c>
      <c r="K10" s="159" t="s">
        <v>11</v>
      </c>
      <c r="L10" s="159" t="s">
        <v>12</v>
      </c>
      <c r="M10" s="159" t="s">
        <v>9</v>
      </c>
      <c r="N10" s="159" t="s">
        <v>10</v>
      </c>
      <c r="O10" s="159" t="s">
        <v>11</v>
      </c>
      <c r="P10" s="159" t="s">
        <v>12</v>
      </c>
      <c r="Q10" s="159" t="s">
        <v>196</v>
      </c>
      <c r="R10" s="159" t="s">
        <v>197</v>
      </c>
      <c r="S10" s="159" t="s">
        <v>198</v>
      </c>
      <c r="T10" s="159" t="s">
        <v>199</v>
      </c>
      <c r="U10" s="159" t="s">
        <v>159</v>
      </c>
    </row>
    <row r="11" spans="1:43" x14ac:dyDescent="0.2">
      <c r="A11" s="146" t="s">
        <v>178</v>
      </c>
      <c r="B11" s="142">
        <v>1016976700</v>
      </c>
      <c r="C11" s="142">
        <v>1016976700</v>
      </c>
      <c r="D11" s="142">
        <v>1016976700</v>
      </c>
      <c r="E11" s="142">
        <v>1016976700</v>
      </c>
      <c r="F11" t="s">
        <v>160</v>
      </c>
      <c r="H11" t="s">
        <v>188</v>
      </c>
      <c r="I11">
        <f>J35</f>
        <v>33984.400800000003</v>
      </c>
      <c r="J11">
        <f>J35</f>
        <v>33984.400800000003</v>
      </c>
      <c r="K11">
        <f>J34</f>
        <v>23406.533640000001</v>
      </c>
      <c r="L11">
        <f>J34</f>
        <v>23406.533640000001</v>
      </c>
      <c r="M11">
        <f>J33</f>
        <v>12699.668100000001</v>
      </c>
      <c r="N11">
        <f>J34</f>
        <v>23406.533640000001</v>
      </c>
      <c r="O11">
        <f>J33</f>
        <v>12699.668100000001</v>
      </c>
      <c r="P11">
        <f>J33</f>
        <v>12699.668100000001</v>
      </c>
      <c r="Q11">
        <f>J37</f>
        <v>28824.4656</v>
      </c>
      <c r="R11">
        <f>J37</f>
        <v>28824.4656</v>
      </c>
      <c r="S11">
        <f>J37</f>
        <v>28824.4656</v>
      </c>
      <c r="T11">
        <f>J37</f>
        <v>28824.4656</v>
      </c>
      <c r="U11" t="s">
        <v>66</v>
      </c>
    </row>
    <row r="12" spans="1:43" x14ac:dyDescent="0.2">
      <c r="A12" s="142" t="s">
        <v>177</v>
      </c>
      <c r="B12" s="142">
        <v>0.77500000000000002</v>
      </c>
      <c r="C12" s="142">
        <v>0.77500000000000002</v>
      </c>
      <c r="D12" s="142">
        <v>0.10199999999999999</v>
      </c>
      <c r="E12" s="142">
        <v>0.10199999999999999</v>
      </c>
      <c r="F12" t="s">
        <v>71</v>
      </c>
      <c r="H12" t="s">
        <v>189</v>
      </c>
      <c r="I12" s="5">
        <f>MAX(B3:C3)</f>
        <v>14171.559434082297</v>
      </c>
      <c r="J12">
        <f>MAX(B4:C4)</f>
        <v>4618.5861593729605</v>
      </c>
      <c r="K12">
        <f>MAX(B5:C5)</f>
        <v>10913.130604274667</v>
      </c>
      <c r="L12">
        <f>MAX(B6:C6)</f>
        <v>10199.485989690396</v>
      </c>
      <c r="M12" s="5">
        <f>MAX(D3:E3)</f>
        <v>831.59479835840762</v>
      </c>
      <c r="N12" s="5">
        <f>MAX(D4:E4)</f>
        <v>734.97303132874868</v>
      </c>
      <c r="O12" s="5">
        <f>MAX(D5:E5)</f>
        <v>3845.5983516541264</v>
      </c>
      <c r="P12" s="5">
        <f>MAX(D6:E6)</f>
        <v>7064.6007236864343</v>
      </c>
      <c r="Q12" s="5" cm="1">
        <f t="array" ref="Q12">MAX(B3:C3+B4:C4)</f>
        <v>18790.145593455258</v>
      </c>
      <c r="R12" cm="1">
        <f t="array" ref="R12">MAX(B5:C5 + B6:C6)</f>
        <v>17028.564752957744</v>
      </c>
      <c r="S12" s="5" cm="1">
        <f t="array" ref="S12">MAX(D3:E3+D4:E4)</f>
        <v>1566.5678296871563</v>
      </c>
      <c r="T12" s="5" cm="1">
        <f t="array" ref="T12">MAX(D5:E5 + D6:E6)</f>
        <v>10910.199075340561</v>
      </c>
      <c r="U12" t="s">
        <v>66</v>
      </c>
    </row>
    <row r="13" spans="1:43" x14ac:dyDescent="0.2">
      <c r="A13" s="142" t="s">
        <v>177</v>
      </c>
      <c r="B13" s="147">
        <f>B12*$H$2</f>
        <v>1.9685000000000001E-2</v>
      </c>
      <c r="C13" s="147">
        <f t="shared" ref="C13:E13" si="0">C12*$H$2</f>
        <v>1.9685000000000001E-2</v>
      </c>
      <c r="D13" s="147">
        <f t="shared" si="0"/>
        <v>2.5907999999999999E-3</v>
      </c>
      <c r="E13" s="147">
        <f t="shared" si="0"/>
        <v>2.5907999999999999E-3</v>
      </c>
      <c r="F13" t="s">
        <v>15</v>
      </c>
      <c r="H13" t="s">
        <v>190</v>
      </c>
      <c r="I13">
        <v>1.5</v>
      </c>
      <c r="J13">
        <v>1.5</v>
      </c>
      <c r="K13">
        <v>1.5</v>
      </c>
      <c r="L13">
        <v>1.5</v>
      </c>
      <c r="M13">
        <v>1.5</v>
      </c>
      <c r="N13">
        <v>1.5</v>
      </c>
      <c r="O13">
        <v>1.5</v>
      </c>
      <c r="P13">
        <v>1.5</v>
      </c>
      <c r="Q13">
        <v>1.5</v>
      </c>
      <c r="R13">
        <v>1.5</v>
      </c>
      <c r="S13">
        <v>1.5</v>
      </c>
      <c r="T13">
        <v>1.5</v>
      </c>
    </row>
    <row r="14" spans="1:43" x14ac:dyDescent="0.2">
      <c r="A14" s="142" t="s">
        <v>176</v>
      </c>
      <c r="B14" s="142">
        <v>17.317</v>
      </c>
      <c r="C14" s="142">
        <v>16.385999999999999</v>
      </c>
      <c r="D14" s="142">
        <v>17.632999999999999</v>
      </c>
      <c r="E14" s="142">
        <v>16.481999999999999</v>
      </c>
      <c r="F14" t="s">
        <v>71</v>
      </c>
      <c r="H14" t="s">
        <v>132</v>
      </c>
      <c r="I14">
        <f>I11/(I12*I13)-1</f>
        <v>0.59871376931970999</v>
      </c>
      <c r="J14">
        <f t="shared" ref="J14:N14" si="1">J11/(J12*J13)-1</f>
        <v>3.9054551367459851</v>
      </c>
      <c r="K14">
        <f t="shared" si="1"/>
        <v>0.42986978950730981</v>
      </c>
      <c r="L14">
        <f t="shared" si="1"/>
        <v>0.52991589730823963</v>
      </c>
      <c r="M14">
        <f t="shared" si="1"/>
        <v>9.1809744562051261</v>
      </c>
      <c r="N14">
        <f t="shared" si="1"/>
        <v>20.231195016487991</v>
      </c>
      <c r="O14">
        <f>O11/(O12*O13)-1</f>
        <v>1.2015937770407787</v>
      </c>
      <c r="P14">
        <f t="shared" ref="P14:T14" si="2">P11/(P12*P13)-1</f>
        <v>0.19843225840257528</v>
      </c>
      <c r="Q14">
        <f t="shared" si="2"/>
        <v>2.2680229082055581E-2</v>
      </c>
      <c r="R14">
        <f t="shared" si="2"/>
        <v>0.12847504641647833</v>
      </c>
      <c r="S14">
        <f t="shared" si="2"/>
        <v>11.266503904805385</v>
      </c>
      <c r="T14">
        <f t="shared" si="2"/>
        <v>0.76131620214273354</v>
      </c>
    </row>
    <row r="15" spans="1:43" x14ac:dyDescent="0.2">
      <c r="A15" s="142" t="s">
        <v>176</v>
      </c>
      <c r="B15" s="147">
        <f t="shared" ref="B15:E15" si="3">B14*$H$2</f>
        <v>0.43985179999999996</v>
      </c>
      <c r="C15" s="147">
        <f t="shared" si="3"/>
        <v>0.41620439999999997</v>
      </c>
      <c r="D15" s="147">
        <f t="shared" si="3"/>
        <v>0.44787819999999995</v>
      </c>
      <c r="E15" s="147">
        <f t="shared" si="3"/>
        <v>0.41864279999999998</v>
      </c>
      <c r="F15" t="s">
        <v>15</v>
      </c>
      <c r="H15" t="s">
        <v>191</v>
      </c>
      <c r="I15" s="159" t="s">
        <v>148</v>
      </c>
      <c r="J15" s="159" t="s">
        <v>148</v>
      </c>
      <c r="K15" s="159" t="s">
        <v>155</v>
      </c>
      <c r="L15" s="159" t="s">
        <v>155</v>
      </c>
      <c r="M15" s="159" t="s">
        <v>154</v>
      </c>
      <c r="N15" s="159" t="s">
        <v>155</v>
      </c>
      <c r="O15" s="159" t="s">
        <v>154</v>
      </c>
      <c r="P15" s="159" t="s">
        <v>154</v>
      </c>
      <c r="Q15" s="159" t="s">
        <v>200</v>
      </c>
      <c r="R15" s="159" t="s">
        <v>200</v>
      </c>
      <c r="S15" s="159" t="s">
        <v>200</v>
      </c>
      <c r="T15" s="159" t="s">
        <v>200</v>
      </c>
    </row>
    <row r="16" spans="1:43" x14ac:dyDescent="0.2">
      <c r="A16" s="142" t="s">
        <v>175</v>
      </c>
      <c r="B16" s="147">
        <f>H35</f>
        <v>1.7462499999999999E-2</v>
      </c>
      <c r="C16" s="147">
        <f>H35</f>
        <v>1.7462499999999999E-2</v>
      </c>
      <c r="D16" s="147">
        <f>H33</f>
        <v>1.3890625E-2</v>
      </c>
      <c r="E16" s="147">
        <f>H34</f>
        <v>1.5635514285714289E-2</v>
      </c>
      <c r="F16" t="s">
        <v>15</v>
      </c>
    </row>
    <row r="17" spans="1:10" x14ac:dyDescent="0.2">
      <c r="A17" s="142" t="s">
        <v>174</v>
      </c>
      <c r="B17" s="147">
        <f>D35</f>
        <v>3.31978E-3</v>
      </c>
      <c r="C17" s="147">
        <f>D35</f>
        <v>3.31978E-3</v>
      </c>
      <c r="D17" s="147">
        <f>D33</f>
        <v>1.9265899999999999E-3</v>
      </c>
      <c r="E17" s="147">
        <f>D34</f>
        <v>2.6187399999999996E-3</v>
      </c>
      <c r="F17" t="s">
        <v>15</v>
      </c>
    </row>
    <row r="18" spans="1:10" x14ac:dyDescent="0.2">
      <c r="A18" s="142" t="s">
        <v>173</v>
      </c>
      <c r="B18" s="148">
        <f>ABS(B7)</f>
        <v>11687.333596260234</v>
      </c>
      <c r="C18" s="148">
        <f>ABS(B7)</f>
        <v>11687.333596260234</v>
      </c>
      <c r="D18" s="148">
        <f t="shared" ref="D18:E18" si="4">ABS(D7)</f>
        <v>3803.7249450869695</v>
      </c>
      <c r="E18" s="148">
        <f t="shared" si="4"/>
        <v>30.214131819059048</v>
      </c>
      <c r="F18" t="s">
        <v>66</v>
      </c>
    </row>
    <row r="19" spans="1:10" x14ac:dyDescent="0.2">
      <c r="A19" s="142" t="s">
        <v>172</v>
      </c>
      <c r="B19" s="148">
        <f>ABS(MAX(B5:C5))</f>
        <v>10913.130604274667</v>
      </c>
      <c r="C19" s="148">
        <f>ABS(MAX(B6:C6))</f>
        <v>10199.485989690396</v>
      </c>
      <c r="D19" s="148">
        <f>ABS(MAX(D5:E5))</f>
        <v>3845.5983516541264</v>
      </c>
      <c r="E19" s="148">
        <f>ABS(MAX(D6:E6))</f>
        <v>7064.6007236864343</v>
      </c>
      <c r="F19" t="s">
        <v>66</v>
      </c>
    </row>
    <row r="20" spans="1:10" x14ac:dyDescent="0.2">
      <c r="A20" s="142" t="s">
        <v>171</v>
      </c>
      <c r="B20" s="149">
        <f>PI()/4*B17^4</f>
        <v>9.5395326369782063E-11</v>
      </c>
      <c r="C20" s="149">
        <f t="shared" ref="C20:E20" si="5">PI()/4*C17^4</f>
        <v>9.5395326369782063E-11</v>
      </c>
      <c r="D20" s="149">
        <f t="shared" si="5"/>
        <v>1.0820493994684216E-11</v>
      </c>
      <c r="E20" s="149">
        <f t="shared" si="5"/>
        <v>3.6936812002041164E-11</v>
      </c>
      <c r="F20" t="s">
        <v>161</v>
      </c>
    </row>
    <row r="21" spans="1:10" x14ac:dyDescent="0.2">
      <c r="A21" s="142" t="s">
        <v>170</v>
      </c>
      <c r="B21" s="149">
        <f t="shared" ref="B21:E21" si="6">PI()*B17^2</f>
        <v>3.4623301778432861E-5</v>
      </c>
      <c r="C21" s="149">
        <f t="shared" si="6"/>
        <v>3.4623301778432861E-5</v>
      </c>
      <c r="D21" s="149">
        <f t="shared" si="6"/>
        <v>1.1660803478648014E-5</v>
      </c>
      <c r="E21" s="149">
        <f t="shared" si="6"/>
        <v>2.1544411547558204E-5</v>
      </c>
      <c r="F21" t="s">
        <v>162</v>
      </c>
    </row>
    <row r="22" spans="1:10" x14ac:dyDescent="0.2">
      <c r="A22" s="142" t="s">
        <v>169</v>
      </c>
      <c r="B22" s="142">
        <f t="shared" ref="B22:E22" si="7">B13*B18/B15</f>
        <v>523.05154109266516</v>
      </c>
      <c r="C22" s="142">
        <f t="shared" si="7"/>
        <v>552.76965318574889</v>
      </c>
      <c r="D22" s="142">
        <f t="shared" si="7"/>
        <v>22.003059286500928</v>
      </c>
      <c r="E22" s="142">
        <f t="shared" si="7"/>
        <v>0.18698225006334324</v>
      </c>
      <c r="F22" t="s">
        <v>66</v>
      </c>
    </row>
    <row r="23" spans="1:10" x14ac:dyDescent="0.2">
      <c r="A23" s="142" t="s">
        <v>168</v>
      </c>
      <c r="B23" s="142">
        <f t="shared" ref="B23:E23" si="8">B22*B16</f>
        <v>9.1337875363306651</v>
      </c>
      <c r="C23" s="142">
        <f t="shared" si="8"/>
        <v>9.65274006875614</v>
      </c>
      <c r="D23" s="142">
        <f t="shared" si="8"/>
        <v>0.30563624540155199</v>
      </c>
      <c r="E23" s="142">
        <f t="shared" si="8"/>
        <v>2.9235636420404045E-3</v>
      </c>
      <c r="F23" t="s">
        <v>163</v>
      </c>
    </row>
    <row r="24" spans="1:10" x14ac:dyDescent="0.2">
      <c r="A24" s="142" t="s">
        <v>167</v>
      </c>
      <c r="B24" s="149">
        <f>B23*B17/B20</f>
        <v>317857974.19279891</v>
      </c>
      <c r="C24" s="149">
        <f t="shared" ref="C24:E24" si="9">C23*C17/C20</f>
        <v>335917645.49595374</v>
      </c>
      <c r="D24" s="149">
        <f t="shared" si="9"/>
        <v>54418562.989587478</v>
      </c>
      <c r="E24" s="149">
        <f t="shared" si="9"/>
        <v>207274.33248797452</v>
      </c>
      <c r="F24" t="s">
        <v>160</v>
      </c>
    </row>
    <row r="25" spans="1:10" x14ac:dyDescent="0.2">
      <c r="A25" s="142" t="s">
        <v>166</v>
      </c>
      <c r="B25" s="149">
        <f t="shared" ref="B25:E25" si="10">B22/B21</f>
        <v>15106922.62799957</v>
      </c>
      <c r="C25" s="149">
        <f t="shared" si="10"/>
        <v>15965249.551389512</v>
      </c>
      <c r="D25" s="149">
        <f t="shared" si="10"/>
        <v>1886924.8012618101</v>
      </c>
      <c r="E25" s="149">
        <f t="shared" si="10"/>
        <v>8678.9211972946832</v>
      </c>
      <c r="F25" t="s">
        <v>160</v>
      </c>
    </row>
    <row r="26" spans="1:10" x14ac:dyDescent="0.2">
      <c r="A26" s="142" t="s">
        <v>165</v>
      </c>
      <c r="B26" s="149">
        <f t="shared" ref="B26:E26" si="11">B19/B21</f>
        <v>315196126.41543466</v>
      </c>
      <c r="C26" s="149">
        <f t="shared" si="11"/>
        <v>294584440.70298749</v>
      </c>
      <c r="D26" s="149">
        <f t="shared" si="11"/>
        <v>329788454.00282794</v>
      </c>
      <c r="E26" s="149">
        <f t="shared" si="11"/>
        <v>327908734.38764775</v>
      </c>
      <c r="F26" t="s">
        <v>160</v>
      </c>
    </row>
    <row r="27" spans="1:10" x14ac:dyDescent="0.2">
      <c r="A27" s="142" t="s">
        <v>164</v>
      </c>
      <c r="B27" s="150">
        <f t="shared" ref="B27:E27" si="12">SQRT((B26+B24)^2+3*B25^2)</f>
        <v>633594627.21109354</v>
      </c>
      <c r="C27" s="142">
        <f t="shared" si="12"/>
        <v>631108190.63052213</v>
      </c>
      <c r="D27" s="142">
        <f t="shared" si="12"/>
        <v>384220917.39236045</v>
      </c>
      <c r="E27" s="142">
        <f t="shared" si="12"/>
        <v>328116009.06448197</v>
      </c>
      <c r="F27" t="s">
        <v>160</v>
      </c>
    </row>
    <row r="28" spans="1:10" x14ac:dyDescent="0.2">
      <c r="A28" s="142" t="s">
        <v>110</v>
      </c>
      <c r="B28" s="142">
        <v>1.5</v>
      </c>
      <c r="C28" s="142">
        <v>1.5</v>
      </c>
      <c r="D28" s="142">
        <v>1.5</v>
      </c>
      <c r="E28" s="142">
        <v>1.5</v>
      </c>
    </row>
    <row r="29" spans="1:10" x14ac:dyDescent="0.2">
      <c r="A29" s="142" t="s">
        <v>147</v>
      </c>
      <c r="B29" s="142">
        <f t="shared" ref="B29:E29" si="13">B11/(B28*B27)-1</f>
        <v>7.0060315459057332E-2</v>
      </c>
      <c r="C29" s="142">
        <f>C11/(C28*C27)-1</f>
        <v>7.4276133208335926E-2</v>
      </c>
      <c r="D29" s="142">
        <f t="shared" si="13"/>
        <v>0.76456938177137146</v>
      </c>
      <c r="E29" s="142">
        <f t="shared" si="13"/>
        <v>1.066294993041403</v>
      </c>
    </row>
    <row r="30" spans="1:10" x14ac:dyDescent="0.2">
      <c r="A30" s="145" t="s">
        <v>158</v>
      </c>
      <c r="B30" s="145" t="s">
        <v>148</v>
      </c>
      <c r="C30" s="145" t="s">
        <v>148</v>
      </c>
      <c r="D30" s="145" t="s">
        <v>154</v>
      </c>
      <c r="E30" s="145" t="s">
        <v>155</v>
      </c>
    </row>
    <row r="32" spans="1:10" ht="71" x14ac:dyDescent="0.2">
      <c r="A32" s="143" t="s">
        <v>149</v>
      </c>
      <c r="B32" s="151" t="s">
        <v>180</v>
      </c>
      <c r="C32" s="152" t="str">
        <f>HYPERLINK("https://www.engineersedge.com/screw_threads_chart.htm","Rod End Minor Radius using class 3A [in]")</f>
        <v>Rod End Minor Radius using class 3A [in]</v>
      </c>
      <c r="D32" s="142" t="s">
        <v>150</v>
      </c>
      <c r="E32" s="145" t="s">
        <v>151</v>
      </c>
      <c r="F32" s="142" t="s">
        <v>192</v>
      </c>
      <c r="G32" s="142" t="s">
        <v>152</v>
      </c>
      <c r="H32" s="142" t="s">
        <v>153</v>
      </c>
      <c r="I32" s="142" t="s">
        <v>187</v>
      </c>
      <c r="J32" s="142" t="s">
        <v>187</v>
      </c>
    </row>
    <row r="33" spans="1:10" x14ac:dyDescent="0.2">
      <c r="A33" s="142" t="s">
        <v>154</v>
      </c>
      <c r="B33" s="142">
        <v>0.5</v>
      </c>
      <c r="C33" s="142">
        <f>0.1517/2</f>
        <v>7.5850000000000001E-2</v>
      </c>
      <c r="D33" s="153">
        <f t="shared" ref="D33:D36" si="14">C33*$H$2</f>
        <v>1.9265899999999999E-3</v>
      </c>
      <c r="E33" s="142">
        <v>32</v>
      </c>
      <c r="F33" s="154">
        <f t="shared" ref="F33:F36" si="15">1/E33*1.5</f>
        <v>4.6875E-2</v>
      </c>
      <c r="G33" s="154">
        <f t="shared" ref="G33:G34" si="16">F33+B33</f>
        <v>0.546875</v>
      </c>
      <c r="H33" s="154">
        <f t="shared" ref="H33:H36" si="17">G33*$H$2</f>
        <v>1.3890625E-2</v>
      </c>
      <c r="I33">
        <v>2855</v>
      </c>
      <c r="J33">
        <f>I33*4.44822</f>
        <v>12699.668100000001</v>
      </c>
    </row>
    <row r="34" spans="1:10" x14ac:dyDescent="0.2">
      <c r="A34" s="142" t="s">
        <v>155</v>
      </c>
      <c r="B34" s="142">
        <v>0.56200000000000006</v>
      </c>
      <c r="C34" s="142">
        <f>0.2062/2</f>
        <v>0.1031</v>
      </c>
      <c r="D34" s="153">
        <f t="shared" si="14"/>
        <v>2.6187399999999996E-3</v>
      </c>
      <c r="E34" s="142">
        <v>28</v>
      </c>
      <c r="F34" s="154">
        <f>1/E34*1.5</f>
        <v>5.3571428571428568E-2</v>
      </c>
      <c r="G34" s="154">
        <f t="shared" si="16"/>
        <v>0.61557142857142866</v>
      </c>
      <c r="H34" s="154">
        <f>G34*$H$2</f>
        <v>1.5635514285714289E-2</v>
      </c>
      <c r="I34">
        <v>5262</v>
      </c>
      <c r="J34">
        <f t="shared" ref="J34:J39" si="18">I34*4.44822</f>
        <v>23406.533640000001</v>
      </c>
    </row>
    <row r="35" spans="1:10" x14ac:dyDescent="0.2">
      <c r="A35" s="142" t="s">
        <v>148</v>
      </c>
      <c r="B35" s="142">
        <v>0.625</v>
      </c>
      <c r="C35" s="142">
        <f>0.2614/2</f>
        <v>0.13070000000000001</v>
      </c>
      <c r="D35" s="153">
        <f t="shared" si="14"/>
        <v>3.31978E-3</v>
      </c>
      <c r="E35" s="142">
        <v>24</v>
      </c>
      <c r="F35" s="154">
        <f t="shared" si="15"/>
        <v>6.25E-2</v>
      </c>
      <c r="G35" s="154">
        <f>F35+B35</f>
        <v>0.6875</v>
      </c>
      <c r="H35" s="154">
        <f t="shared" si="17"/>
        <v>1.7462499999999999E-2</v>
      </c>
      <c r="I35">
        <v>7640</v>
      </c>
      <c r="J35">
        <f t="shared" si="18"/>
        <v>33984.400800000003</v>
      </c>
    </row>
    <row r="36" spans="1:10" x14ac:dyDescent="0.2">
      <c r="A36" s="142" t="s">
        <v>179</v>
      </c>
      <c r="B36" s="142">
        <v>0.68799999999999994</v>
      </c>
      <c r="C36">
        <f>0.3239/2</f>
        <v>0.16195000000000001</v>
      </c>
      <c r="D36" s="153">
        <f t="shared" si="14"/>
        <v>4.1135299999999998E-3</v>
      </c>
      <c r="E36" s="142">
        <v>24</v>
      </c>
      <c r="F36" s="154">
        <f t="shared" si="15"/>
        <v>6.25E-2</v>
      </c>
      <c r="G36" s="154">
        <f>F36+B36</f>
        <v>0.75049999999999994</v>
      </c>
      <c r="H36" s="154">
        <f t="shared" si="17"/>
        <v>1.9062699999999998E-2</v>
      </c>
      <c r="I36">
        <v>9550</v>
      </c>
      <c r="J36">
        <f t="shared" si="18"/>
        <v>42480.501000000004</v>
      </c>
    </row>
    <row r="37" spans="1:10" x14ac:dyDescent="0.2">
      <c r="A37" s="142" t="s">
        <v>200</v>
      </c>
      <c r="I37">
        <v>6480</v>
      </c>
      <c r="J37">
        <f t="shared" si="18"/>
        <v>28824.4656</v>
      </c>
    </row>
    <row r="38" spans="1:10" x14ac:dyDescent="0.2">
      <c r="A38" s="142" t="s">
        <v>201</v>
      </c>
      <c r="I38">
        <v>10000</v>
      </c>
      <c r="J38">
        <f t="shared" si="18"/>
        <v>44482.2</v>
      </c>
    </row>
    <row r="39" spans="1:10" x14ac:dyDescent="0.2">
      <c r="A39" s="142" t="s">
        <v>202</v>
      </c>
      <c r="I39">
        <v>13900</v>
      </c>
      <c r="J39">
        <f t="shared" si="18"/>
        <v>61830.258000000002</v>
      </c>
    </row>
    <row r="40" spans="1:10" x14ac:dyDescent="0.2">
      <c r="D40" t="s">
        <v>194</v>
      </c>
    </row>
    <row r="41" spans="1:10" x14ac:dyDescent="0.2">
      <c r="A41" t="s">
        <v>193</v>
      </c>
    </row>
  </sheetData>
  <mergeCells count="3">
    <mergeCell ref="A1:A2"/>
    <mergeCell ref="B1:C1"/>
    <mergeCell ref="D1:E1"/>
  </mergeCells>
  <conditionalFormatting sqref="B29:E29">
    <cfRule type="cellIs" dxfId="5" priority="8" operator="greaterThan">
      <formula>1</formula>
    </cfRule>
    <cfRule type="cellIs" dxfId="4" priority="9" operator="between">
      <formula>0</formula>
      <formula>1</formula>
    </cfRule>
    <cfRule type="cellIs" dxfId="3" priority="10" operator="lessThan">
      <formula>0</formula>
    </cfRule>
  </conditionalFormatting>
  <conditionalFormatting sqref="I14:T14">
    <cfRule type="cellIs" dxfId="2" priority="2" operator="between">
      <formula>0</formula>
      <formula>1</formula>
    </cfRule>
    <cfRule type="cellIs" dxfId="1" priority="3" operator="lessThan">
      <formula>0</formula>
    </cfRule>
    <cfRule type="cellIs" dxfId="0" priority="1" operator="greaterThan">
      <formula>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Front Tires Force Calculations</vt:lpstr>
      <vt:lpstr>Front A-Arms Steel Tubes Sizing</vt:lpstr>
      <vt:lpstr>Front A-Arms CF Tubes Sizing</vt:lpstr>
      <vt:lpstr>Rear Tires Force Calculations</vt:lpstr>
      <vt:lpstr>Rear A-Arms Steel Tubes Sizing</vt:lpstr>
      <vt:lpstr>Rear A-Arms CF Tubes Sizing</vt:lpstr>
      <vt:lpstr>Rod Ends and Sphericals Sizing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Eric F Zhou</cp:lastModifiedBy>
  <dcterms:created xsi:type="dcterms:W3CDTF">2021-01-14T15:41:23Z</dcterms:created>
  <dcterms:modified xsi:type="dcterms:W3CDTF">2023-10-26T17:25:21Z</dcterms:modified>
</cp:coreProperties>
</file>